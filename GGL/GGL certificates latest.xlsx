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CB_Data" sheetId="2" state="hidden" r:id="rId2"/>
    <sheet name="Country_Data" sheetId="3" state="hidden" r:id="rId3"/>
    <sheet name="Country_List" sheetId="4" state="hidden" r:id="rId4"/>
    <sheet name="CB_List" sheetId="5" state="hidden" r:id="rId5"/>
    <sheet name="Country Summary" sheetId="6" state="visible" r:id="rId6"/>
    <sheet name="Dat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color rgb="00FFFFFF"/>
      <sz val="18"/>
    </font>
    <font>
      <name val="Calibri"/>
      <b val="1"/>
      <color rgb="00888888"/>
      <sz val="10"/>
    </font>
    <font>
      <name val="Calibri"/>
      <b val="1"/>
      <color rgb="00005798"/>
      <sz val="14"/>
    </font>
    <font>
      <name val="Calibri"/>
      <b val="1"/>
      <color rgb="001F3864"/>
      <sz val="12"/>
    </font>
    <font>
      <name val="Calibri"/>
      <b val="1"/>
      <sz val="12"/>
    </font>
    <font>
      <name val="Calibri"/>
      <color rgb="00888888"/>
      <sz val="10"/>
    </font>
    <font>
      <name val="Calibri"/>
      <b val="1"/>
      <color rgb="00005798"/>
      <sz val="12"/>
    </font>
    <font>
      <name val="Calibri"/>
      <sz val="10"/>
    </font>
  </fonts>
  <fills count="6">
    <fill>
      <patternFill/>
    </fill>
    <fill>
      <patternFill patternType="gray125"/>
    </fill>
    <fill>
      <patternFill patternType="solid">
        <fgColor rgb="00005798"/>
      </patternFill>
    </fill>
    <fill>
      <patternFill patternType="solid">
        <fgColor rgb="00EBF3FB"/>
      </patternFill>
    </fill>
    <fill>
      <patternFill patternType="solid">
        <fgColor rgb="00DCE6F1"/>
      </patternFill>
    </fill>
    <fill>
      <patternFill patternType="solid">
        <fgColor rgb="00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4" borderId="0" applyAlignment="1" pivotButton="0" quotePrefix="0" xfId="0">
      <alignment horizontal="left" vertical="center"/>
    </xf>
    <xf numFmtId="0" fontId="7" fillId="0" borderId="0" pivotButton="0" quotePrefix="0" xfId="0"/>
    <xf numFmtId="0" fontId="8" fillId="0" borderId="0" applyAlignment="1" pivotButton="0" quotePrefix="0" xfId="0">
      <alignment horizontal="left" vertical="center"/>
    </xf>
    <xf numFmtId="0" fontId="1" fillId="2" borderId="0" applyAlignment="1" pivotButton="0" quotePrefix="0" xfId="0">
      <alignment horizontal="center" vertical="center" wrapText="1"/>
    </xf>
    <xf numFmtId="0" fontId="9" fillId="3" borderId="0" pivotButton="0" quotePrefix="0" xfId="0"/>
    <xf numFmtId="0" fontId="9" fillId="5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Certificates by CB (selected country)</a:t>
            </a:r>
          </a:p>
        </rich>
      </tx>
    </title>
    <plotArea>
      <pieChart>
        <varyColors val="1"/>
        <ser>
          <idx val="0"/>
          <order val="0"/>
          <tx>
            <strRef>
              <f>'Dashboard'!C7</f>
            </strRef>
          </tx>
          <spPr>
            <a:ln>
              <a:prstDash val="solid"/>
            </a:ln>
          </spPr>
          <cat>
            <strRef>
              <f>'Dashboard'!$B$8:$B$17</f>
            </strRef>
          </cat>
          <val>
            <numRef>
              <f>'Dashboard'!$C$8:$C$17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 Countries for Selected CB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'Dashboard'!F7</f>
            </strRef>
          </tx>
          <spPr>
            <a:ln>
              <a:prstDash val="solid"/>
            </a:ln>
          </spPr>
          <cat>
            <strRef>
              <f>'Dashboard'!$E$8:$E$17</f>
            </strRef>
          </cat>
          <val>
            <numRef>
              <f>'Dashboard'!$F$8:$F$17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18</row>
      <rowOff>0</rowOff>
    </from>
    <ext cx="64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18</row>
      <rowOff>0</rowOff>
    </from>
    <ext cx="64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CertData" displayName="CertData" ref="A1:K389" headerRowCount="1">
  <autoFilter ref="A1:K389"/>
  <tableColumns count="11">
    <tableColumn id="1" name="USI"/>
    <tableColumn id="2" name="Participant name"/>
    <tableColumn id="3" name="Country"/>
    <tableColumn id="4" name="Participant role"/>
    <tableColumn id="5" name="Regulation"/>
    <tableColumn id="6" name="Standards"/>
    <tableColumn id="7" name="Type of biomass"/>
    <tableColumn id="8" name="Valid from"/>
    <tableColumn id="9" name="Valid till"/>
    <tableColumn id="10" name="CB"/>
    <tableColumn id="11" name="Status"/>
  </tableColumns>
  <tableStyleInfo name="TableStyleMedium9" showFirstColumn="0" showLastColumn="0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 outlineLevelCol="0"/>
  <cols>
    <col width="5" customWidth="1" min="1" max="1"/>
    <col width="22" customWidth="1" min="2" max="2"/>
    <col width="40" customWidth="1" min="3" max="3"/>
    <col width="5" customWidth="1" min="4" max="4"/>
    <col width="22" customWidth="1" min="5" max="5"/>
    <col width="45" customWidth="1" min="6" max="6"/>
    <col width="5" customWidth="1" min="7" max="7"/>
    <col width="14" customWidth="1" min="8" max="8"/>
  </cols>
  <sheetData>
    <row r="1" ht="44" customHeight="1">
      <c r="A1" s="1" t="inlineStr">
        <is>
          <t>GGL Certificate Holders — Interactive Dashboard</t>
        </is>
      </c>
    </row>
    <row r="3" ht="28" customHeight="1">
      <c r="B3" s="2" t="inlineStr">
        <is>
          <t>Total Certificate Holders</t>
        </is>
      </c>
      <c r="C3" s="3" t="n">
        <v>388</v>
      </c>
      <c r="E3" s="2" t="inlineStr">
        <is>
          <t>Countries</t>
        </is>
      </c>
      <c r="F3" s="3" t="n">
        <v>20</v>
      </c>
    </row>
    <row r="5" ht="28" customHeight="1">
      <c r="B5" s="4" t="inlineStr">
        <is>
          <t>Select Country:</t>
        </is>
      </c>
      <c r="C5" s="5" t="inlineStr">
        <is>
          <t>Indonesia</t>
        </is>
      </c>
      <c r="E5" s="4" t="inlineStr">
        <is>
          <t>Select CB:</t>
        </is>
      </c>
      <c r="F5" s="5" t="inlineStr">
        <is>
          <t>Control Union</t>
        </is>
      </c>
    </row>
    <row r="6" ht="20" customHeight="1">
      <c r="B6" s="6" t="inlineStr">
        <is>
          <t>Total certificates:</t>
        </is>
      </c>
      <c r="C6" s="7">
        <f>COUNTIF(CertData[Country],$C$5)</f>
        <v/>
      </c>
    </row>
    <row r="7" ht="22" customHeight="1">
      <c r="B7" s="8" t="inlineStr">
        <is>
          <t>Certification Body</t>
        </is>
      </c>
      <c r="C7" s="8" t="inlineStr">
        <is>
          <t>Count</t>
        </is>
      </c>
      <c r="E7" s="8" t="inlineStr">
        <is>
          <t>Country</t>
        </is>
      </c>
      <c r="F7" s="8" t="inlineStr">
        <is>
          <t>Count</t>
        </is>
      </c>
      <c r="G7" s="8" t="inlineStr"/>
    </row>
    <row r="8">
      <c r="B8" s="9">
        <f>IFERROR(INDEX(CB_Data!$B:$B,MATCH($C$5,CB_Data!$A:$A,0)+0),"")</f>
        <v/>
      </c>
      <c r="C8" s="9">
        <f>IFERROR(IF(INDEX(CB_Data!$C:$C,MATCH($C$5,CB_Data!$A:$A,0)+0)=0,NA(),INDEX(CB_Data!$C:$C,MATCH($C$5,CB_Data!$A:$A,0)+0)),NA())</f>
        <v/>
      </c>
      <c r="E8" s="9">
        <f>IFERROR(INDEX(Country_Data!$B:$B,MATCH($F$5,Country_Data!$A:$A,0)+0),"")</f>
        <v/>
      </c>
      <c r="F8" s="9">
        <f>IFERROR(IF(INDEX(Country_Data!$C:$C,MATCH($F$5,Country_Data!$A:$A,0)+0)=0,NA(),INDEX(Country_Data!$C:$C,MATCH($F$5,Country_Data!$A:$A,0)+0)),NA())</f>
        <v/>
      </c>
    </row>
    <row r="9">
      <c r="B9" s="10">
        <f>IFERROR(INDEX(CB_Data!$B:$B,MATCH($C$5,CB_Data!$A:$A,0)+1),"")</f>
        <v/>
      </c>
      <c r="C9" s="10">
        <f>IFERROR(IF(INDEX(CB_Data!$C:$C,MATCH($C$5,CB_Data!$A:$A,0)+1)=0,NA(),INDEX(CB_Data!$C:$C,MATCH($C$5,CB_Data!$A:$A,0)+1)),NA())</f>
        <v/>
      </c>
      <c r="E9" s="10">
        <f>IFERROR(INDEX(Country_Data!$B:$B,MATCH($F$5,Country_Data!$A:$A,0)+1),"")</f>
        <v/>
      </c>
      <c r="F9" s="10">
        <f>IFERROR(IF(INDEX(Country_Data!$C:$C,MATCH($F$5,Country_Data!$A:$A,0)+1)=0,NA(),INDEX(Country_Data!$C:$C,MATCH($F$5,Country_Data!$A:$A,0)+1)),NA())</f>
        <v/>
      </c>
    </row>
    <row r="10">
      <c r="B10" s="9">
        <f>IFERROR(INDEX(CB_Data!$B:$B,MATCH($C$5,CB_Data!$A:$A,0)+2),"")</f>
        <v/>
      </c>
      <c r="C10" s="9">
        <f>IFERROR(IF(INDEX(CB_Data!$C:$C,MATCH($C$5,CB_Data!$A:$A,0)+2)=0,NA(),INDEX(CB_Data!$C:$C,MATCH($C$5,CB_Data!$A:$A,0)+2)),NA())</f>
        <v/>
      </c>
      <c r="E10" s="9">
        <f>IFERROR(INDEX(Country_Data!$B:$B,MATCH($F$5,Country_Data!$A:$A,0)+2),"")</f>
        <v/>
      </c>
      <c r="F10" s="9">
        <f>IFERROR(IF(INDEX(Country_Data!$C:$C,MATCH($F$5,Country_Data!$A:$A,0)+2)=0,NA(),INDEX(Country_Data!$C:$C,MATCH($F$5,Country_Data!$A:$A,0)+2)),NA())</f>
        <v/>
      </c>
    </row>
    <row r="11">
      <c r="B11" s="10">
        <f>IFERROR(INDEX(CB_Data!$B:$B,MATCH($C$5,CB_Data!$A:$A,0)+3),"")</f>
        <v/>
      </c>
      <c r="C11" s="10">
        <f>IFERROR(IF(INDEX(CB_Data!$C:$C,MATCH($C$5,CB_Data!$A:$A,0)+3)=0,NA(),INDEX(CB_Data!$C:$C,MATCH($C$5,CB_Data!$A:$A,0)+3)),NA())</f>
        <v/>
      </c>
      <c r="E11" s="10">
        <f>IFERROR(INDEX(Country_Data!$B:$B,MATCH($F$5,Country_Data!$A:$A,0)+3),"")</f>
        <v/>
      </c>
      <c r="F11" s="10">
        <f>IFERROR(IF(INDEX(Country_Data!$C:$C,MATCH($F$5,Country_Data!$A:$A,0)+3)=0,NA(),INDEX(Country_Data!$C:$C,MATCH($F$5,Country_Data!$A:$A,0)+3)),NA())</f>
        <v/>
      </c>
    </row>
    <row r="12">
      <c r="B12" s="9">
        <f>IFERROR(INDEX(CB_Data!$B:$B,MATCH($C$5,CB_Data!$A:$A,0)+4),"")</f>
        <v/>
      </c>
      <c r="C12" s="9">
        <f>IFERROR(IF(INDEX(CB_Data!$C:$C,MATCH($C$5,CB_Data!$A:$A,0)+4)=0,NA(),INDEX(CB_Data!$C:$C,MATCH($C$5,CB_Data!$A:$A,0)+4)),NA())</f>
        <v/>
      </c>
      <c r="E12" s="9">
        <f>IFERROR(INDEX(Country_Data!$B:$B,MATCH($F$5,Country_Data!$A:$A,0)+4),"")</f>
        <v/>
      </c>
      <c r="F12" s="9">
        <f>IFERROR(IF(INDEX(Country_Data!$C:$C,MATCH($F$5,Country_Data!$A:$A,0)+4)=0,NA(),INDEX(Country_Data!$C:$C,MATCH($F$5,Country_Data!$A:$A,0)+4)),NA())</f>
        <v/>
      </c>
    </row>
    <row r="13">
      <c r="B13" s="10">
        <f>IFERROR(INDEX(CB_Data!$B:$B,MATCH($C$5,CB_Data!$A:$A,0)+5),"")</f>
        <v/>
      </c>
      <c r="C13" s="10">
        <f>IFERROR(IF(INDEX(CB_Data!$C:$C,MATCH($C$5,CB_Data!$A:$A,0)+5)=0,NA(),INDEX(CB_Data!$C:$C,MATCH($C$5,CB_Data!$A:$A,0)+5)),NA())</f>
        <v/>
      </c>
      <c r="E13" s="10">
        <f>IFERROR(INDEX(Country_Data!$B:$B,MATCH($F$5,Country_Data!$A:$A,0)+5),"")</f>
        <v/>
      </c>
      <c r="F13" s="10">
        <f>IFERROR(IF(INDEX(Country_Data!$C:$C,MATCH($F$5,Country_Data!$A:$A,0)+5)=0,NA(),INDEX(Country_Data!$C:$C,MATCH($F$5,Country_Data!$A:$A,0)+5)),NA())</f>
        <v/>
      </c>
    </row>
    <row r="14">
      <c r="B14" s="9">
        <f>IFERROR(INDEX(CB_Data!$B:$B,MATCH($C$5,CB_Data!$A:$A,0)+6),"")</f>
        <v/>
      </c>
      <c r="C14" s="9">
        <f>IFERROR(IF(INDEX(CB_Data!$C:$C,MATCH($C$5,CB_Data!$A:$A,0)+6)=0,NA(),INDEX(CB_Data!$C:$C,MATCH($C$5,CB_Data!$A:$A,0)+6)),NA())</f>
        <v/>
      </c>
      <c r="E14" s="9">
        <f>IFERROR(INDEX(Country_Data!$B:$B,MATCH($F$5,Country_Data!$A:$A,0)+6),"")</f>
        <v/>
      </c>
      <c r="F14" s="9">
        <f>IFERROR(IF(INDEX(Country_Data!$C:$C,MATCH($F$5,Country_Data!$A:$A,0)+6)=0,NA(),INDEX(Country_Data!$C:$C,MATCH($F$5,Country_Data!$A:$A,0)+6)),NA())</f>
        <v/>
      </c>
    </row>
    <row r="15">
      <c r="B15" s="10">
        <f>IFERROR(INDEX(CB_Data!$B:$B,MATCH($C$5,CB_Data!$A:$A,0)+7),"")</f>
        <v/>
      </c>
      <c r="C15" s="10">
        <f>IFERROR(IF(INDEX(CB_Data!$C:$C,MATCH($C$5,CB_Data!$A:$A,0)+7)=0,NA(),INDEX(CB_Data!$C:$C,MATCH($C$5,CB_Data!$A:$A,0)+7)),NA())</f>
        <v/>
      </c>
      <c r="E15" s="10">
        <f>IFERROR(INDEX(Country_Data!$B:$B,MATCH($F$5,Country_Data!$A:$A,0)+7),"")</f>
        <v/>
      </c>
      <c r="F15" s="10">
        <f>IFERROR(IF(INDEX(Country_Data!$C:$C,MATCH($F$5,Country_Data!$A:$A,0)+7)=0,NA(),INDEX(Country_Data!$C:$C,MATCH($F$5,Country_Data!$A:$A,0)+7)),NA())</f>
        <v/>
      </c>
    </row>
    <row r="16">
      <c r="B16" s="9">
        <f>IFERROR(INDEX(CB_Data!$B:$B,MATCH($C$5,CB_Data!$A:$A,0)+8),"")</f>
        <v/>
      </c>
      <c r="C16" s="9">
        <f>IFERROR(IF(INDEX(CB_Data!$C:$C,MATCH($C$5,CB_Data!$A:$A,0)+8)=0,NA(),INDEX(CB_Data!$C:$C,MATCH($C$5,CB_Data!$A:$A,0)+8)),NA())</f>
        <v/>
      </c>
      <c r="E16" s="9">
        <f>IFERROR(INDEX(Country_Data!$B:$B,MATCH($F$5,Country_Data!$A:$A,0)+8),"")</f>
        <v/>
      </c>
      <c r="F16" s="9">
        <f>IFERROR(IF(INDEX(Country_Data!$C:$C,MATCH($F$5,Country_Data!$A:$A,0)+8)=0,NA(),INDEX(Country_Data!$C:$C,MATCH($F$5,Country_Data!$A:$A,0)+8)),NA())</f>
        <v/>
      </c>
    </row>
    <row r="17">
      <c r="B17" s="10">
        <f>IFERROR(INDEX(CB_Data!$B:$B,MATCH($C$5,CB_Data!$A:$A,0)+9),"")</f>
        <v/>
      </c>
      <c r="C17" s="10">
        <f>IFERROR(IF(INDEX(CB_Data!$C:$C,MATCH($C$5,CB_Data!$A:$A,0)+9)=0,NA(),INDEX(CB_Data!$C:$C,MATCH($C$5,CB_Data!$A:$A,0)+9)),NA())</f>
        <v/>
      </c>
      <c r="E17" s="10">
        <f>IFERROR(INDEX(Country_Data!$B:$B,MATCH($F$5,Country_Data!$A:$A,0)+9),"")</f>
        <v/>
      </c>
      <c r="F17" s="10">
        <f>IFERROR(IF(INDEX(Country_Data!$C:$C,MATCH($F$5,Country_Data!$A:$A,0)+9)=0,NA(),INDEX(Country_Data!$C:$C,MATCH($F$5,Country_Data!$A:$A,0)+9)),NA())</f>
        <v/>
      </c>
    </row>
  </sheetData>
  <mergeCells count="1">
    <mergeCell ref="A1:H1"/>
  </mergeCells>
  <dataValidations count="2">
    <dataValidation sqref="C5" showDropDown="0" showInputMessage="0" showErrorMessage="0" allowBlank="0" type="list">
      <formula1>Country_List!$A$1:$A$20</formula1>
    </dataValidation>
    <dataValidation sqref="F5" showDropDown="0" showInputMessage="0" showErrorMessage="0" allowBlank="0" type="list">
      <formula1>CB_List!$A$1:$A$10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Country</t>
        </is>
      </c>
      <c r="B1" t="inlineStr">
        <is>
          <t>CB</t>
        </is>
      </c>
      <c r="C1" t="inlineStr">
        <is>
          <t>Count</t>
        </is>
      </c>
    </row>
    <row r="2">
      <c r="A2" t="inlineStr">
        <is>
          <t>Indonesia</t>
        </is>
      </c>
      <c r="B2" t="inlineStr">
        <is>
          <t>PT Carsurin Certiva International</t>
        </is>
      </c>
      <c r="C2" t="n">
        <v>58</v>
      </c>
    </row>
    <row r="3">
      <c r="A3" t="inlineStr">
        <is>
          <t>Indonesia</t>
        </is>
      </c>
      <c r="B3" t="inlineStr">
        <is>
          <t>Control Union</t>
        </is>
      </c>
      <c r="C3" t="n">
        <v>18</v>
      </c>
    </row>
    <row r="4">
      <c r="A4" t="inlineStr">
        <is>
          <t>Indonesia</t>
        </is>
      </c>
      <c r="B4" t="inlineStr">
        <is>
          <t>PT SBC Asia Sertifikasi</t>
        </is>
      </c>
      <c r="C4" t="n">
        <v>15</v>
      </c>
    </row>
    <row r="5">
      <c r="A5" t="inlineStr">
        <is>
          <t>Indonesia</t>
        </is>
      </c>
      <c r="B5" t="inlineStr">
        <is>
          <t>BM Certification</t>
        </is>
      </c>
      <c r="C5" t="n">
        <v>8</v>
      </c>
    </row>
    <row r="6">
      <c r="A6" t="inlineStr">
        <is>
          <t>Indonesia</t>
        </is>
      </c>
      <c r="B6" t="inlineStr">
        <is>
          <t>PT Sucofindo</t>
        </is>
      </c>
      <c r="C6" t="n">
        <v>8</v>
      </c>
    </row>
    <row r="7">
      <c r="A7" t="inlineStr">
        <is>
          <t>Indonesia</t>
        </is>
      </c>
      <c r="B7" t="inlineStr">
        <is>
          <t>PT PCU Indonesia</t>
        </is>
      </c>
      <c r="C7" t="n">
        <v>8</v>
      </c>
    </row>
    <row r="8">
      <c r="A8" t="inlineStr">
        <is>
          <t>Indonesia</t>
        </is>
      </c>
      <c r="B8" t="inlineStr">
        <is>
          <t>PT Intertek Utama Services</t>
        </is>
      </c>
      <c r="C8" t="n">
        <v>2</v>
      </c>
    </row>
    <row r="9">
      <c r="A9" t="inlineStr">
        <is>
          <t>Indonesia</t>
        </is>
      </c>
      <c r="B9" t="inlineStr">
        <is>
          <t>DoubleHelix</t>
        </is>
      </c>
      <c r="C9" t="n">
        <v>2</v>
      </c>
    </row>
    <row r="10">
      <c r="A10" t="inlineStr">
        <is>
          <t>Indonesia</t>
        </is>
      </c>
      <c r="B10" t="inlineStr">
        <is>
          <t>Trans Certification &amp; Inspection SDN. BHD.</t>
        </is>
      </c>
      <c r="C10" t="n">
        <v>1</v>
      </c>
    </row>
    <row r="11">
      <c r="A11" t="inlineStr">
        <is>
          <t>Indonesia</t>
        </is>
      </c>
      <c r="B11" t="inlineStr">
        <is>
          <t>PT Global Relasitama Indonesia</t>
        </is>
      </c>
      <c r="C11" t="n">
        <v>1</v>
      </c>
    </row>
    <row r="12">
      <c r="A12" t="inlineStr">
        <is>
          <t>Japan</t>
        </is>
      </c>
      <c r="B12" t="inlineStr">
        <is>
          <t>Control Union</t>
        </is>
      </c>
      <c r="C12" t="n">
        <v>102</v>
      </c>
    </row>
    <row r="13">
      <c r="A13" t="inlineStr">
        <is>
          <t>Japan</t>
        </is>
      </c>
      <c r="B13" t="inlineStr">
        <is>
          <t>PT Carsurin Certiva International</t>
        </is>
      </c>
      <c r="C13" t="n">
        <v>1</v>
      </c>
    </row>
    <row r="14">
      <c r="A14" t="inlineStr">
        <is>
          <t>Japan</t>
        </is>
      </c>
      <c r="B14" t="inlineStr"/>
      <c r="C14" t="n">
        <v>0</v>
      </c>
    </row>
    <row r="15">
      <c r="A15" t="inlineStr">
        <is>
          <t>Japan</t>
        </is>
      </c>
      <c r="B15" t="inlineStr"/>
      <c r="C15" t="n">
        <v>0</v>
      </c>
    </row>
    <row r="16">
      <c r="A16" t="inlineStr">
        <is>
          <t>Japan</t>
        </is>
      </c>
      <c r="B16" t="inlineStr"/>
      <c r="C16" t="n">
        <v>0</v>
      </c>
    </row>
    <row r="17">
      <c r="A17" t="inlineStr">
        <is>
          <t>Japan</t>
        </is>
      </c>
      <c r="B17" t="inlineStr"/>
      <c r="C17" t="n">
        <v>0</v>
      </c>
    </row>
    <row r="18">
      <c r="A18" t="inlineStr">
        <is>
          <t>Japan</t>
        </is>
      </c>
      <c r="B18" t="inlineStr"/>
      <c r="C18" t="n">
        <v>0</v>
      </c>
    </row>
    <row r="19">
      <c r="A19" t="inlineStr">
        <is>
          <t>Japan</t>
        </is>
      </c>
      <c r="B19" t="inlineStr"/>
      <c r="C19" t="n">
        <v>0</v>
      </c>
    </row>
    <row r="20">
      <c r="A20" t="inlineStr">
        <is>
          <t>Japan</t>
        </is>
      </c>
      <c r="B20" t="inlineStr"/>
      <c r="C20" t="n">
        <v>0</v>
      </c>
    </row>
    <row r="21">
      <c r="A21" t="inlineStr">
        <is>
          <t>Japan</t>
        </is>
      </c>
      <c r="B21" t="inlineStr"/>
      <c r="C21" t="n">
        <v>0</v>
      </c>
    </row>
    <row r="22">
      <c r="A22" t="inlineStr">
        <is>
          <t>Malaysia</t>
        </is>
      </c>
      <c r="B22" t="inlineStr">
        <is>
          <t>Control Union</t>
        </is>
      </c>
      <c r="C22" t="n">
        <v>58</v>
      </c>
    </row>
    <row r="23">
      <c r="A23" t="inlineStr">
        <is>
          <t>Malaysia</t>
        </is>
      </c>
      <c r="B23" t="inlineStr">
        <is>
          <t>Trans Certification &amp; Inspection SDN. BHD.</t>
        </is>
      </c>
      <c r="C23" t="n">
        <v>14</v>
      </c>
    </row>
    <row r="24">
      <c r="A24" t="inlineStr">
        <is>
          <t>Malaysia</t>
        </is>
      </c>
      <c r="B24" t="inlineStr">
        <is>
          <t>PT Carsurin Certiva International</t>
        </is>
      </c>
      <c r="C24" t="n">
        <v>2</v>
      </c>
    </row>
    <row r="25">
      <c r="A25" t="inlineStr">
        <is>
          <t>Malaysia</t>
        </is>
      </c>
      <c r="B25" t="inlineStr">
        <is>
          <t>PT PCU Indonesia</t>
        </is>
      </c>
      <c r="C25" t="n">
        <v>1</v>
      </c>
    </row>
    <row r="26">
      <c r="A26" t="inlineStr">
        <is>
          <t>Malaysia</t>
        </is>
      </c>
      <c r="B26" t="inlineStr"/>
      <c r="C26" t="n">
        <v>0</v>
      </c>
    </row>
    <row r="27">
      <c r="A27" t="inlineStr">
        <is>
          <t>Malaysia</t>
        </is>
      </c>
      <c r="B27" t="inlineStr"/>
      <c r="C27" t="n">
        <v>0</v>
      </c>
    </row>
    <row r="28">
      <c r="A28" t="inlineStr">
        <is>
          <t>Malaysia</t>
        </is>
      </c>
      <c r="B28" t="inlineStr"/>
      <c r="C28" t="n">
        <v>0</v>
      </c>
    </row>
    <row r="29">
      <c r="A29" t="inlineStr">
        <is>
          <t>Malaysia</t>
        </is>
      </c>
      <c r="B29" t="inlineStr"/>
      <c r="C29" t="n">
        <v>0</v>
      </c>
    </row>
    <row r="30">
      <c r="A30" t="inlineStr">
        <is>
          <t>Malaysia</t>
        </is>
      </c>
      <c r="B30" t="inlineStr"/>
      <c r="C30" t="n">
        <v>0</v>
      </c>
    </row>
    <row r="31">
      <c r="A31" t="inlineStr">
        <is>
          <t>Malaysia</t>
        </is>
      </c>
      <c r="B31" t="inlineStr"/>
      <c r="C31" t="n">
        <v>0</v>
      </c>
    </row>
    <row r="32">
      <c r="A32" t="inlineStr">
        <is>
          <t>Singapore</t>
        </is>
      </c>
      <c r="B32" t="inlineStr">
        <is>
          <t>Control Union</t>
        </is>
      </c>
      <c r="C32" t="n">
        <v>15</v>
      </c>
    </row>
    <row r="33">
      <c r="A33" t="inlineStr">
        <is>
          <t>Singapore</t>
        </is>
      </c>
      <c r="B33" t="inlineStr">
        <is>
          <t>PT Carsurin Certiva International</t>
        </is>
      </c>
      <c r="C33" t="n">
        <v>4</v>
      </c>
    </row>
    <row r="34">
      <c r="A34" t="inlineStr">
        <is>
          <t>Singapore</t>
        </is>
      </c>
      <c r="B34" t="inlineStr">
        <is>
          <t>PT SBC Asia Sertifikasi</t>
        </is>
      </c>
      <c r="C34" t="n">
        <v>1</v>
      </c>
    </row>
    <row r="35">
      <c r="A35" t="inlineStr">
        <is>
          <t>Singapore</t>
        </is>
      </c>
      <c r="B35" t="inlineStr">
        <is>
          <t>BM Certification</t>
        </is>
      </c>
      <c r="C35" t="n">
        <v>1</v>
      </c>
    </row>
    <row r="36">
      <c r="A36" t="inlineStr">
        <is>
          <t>Singapore</t>
        </is>
      </c>
      <c r="B36" t="inlineStr">
        <is>
          <t>DoubleHelix</t>
        </is>
      </c>
      <c r="C36" t="n">
        <v>1</v>
      </c>
    </row>
    <row r="37">
      <c r="A37" t="inlineStr">
        <is>
          <t>Singapore</t>
        </is>
      </c>
      <c r="B37" t="inlineStr">
        <is>
          <t>PT Intertek Utama Services</t>
        </is>
      </c>
      <c r="C37" t="n">
        <v>1</v>
      </c>
    </row>
    <row r="38">
      <c r="A38" t="inlineStr">
        <is>
          <t>Singapore</t>
        </is>
      </c>
      <c r="B38" t="inlineStr"/>
      <c r="C38" t="n">
        <v>0</v>
      </c>
    </row>
    <row r="39">
      <c r="A39" t="inlineStr">
        <is>
          <t>Singapore</t>
        </is>
      </c>
      <c r="B39" t="inlineStr"/>
      <c r="C39" t="n">
        <v>0</v>
      </c>
    </row>
    <row r="40">
      <c r="A40" t="inlineStr">
        <is>
          <t>Singapore</t>
        </is>
      </c>
      <c r="B40" t="inlineStr"/>
      <c r="C40" t="n">
        <v>0</v>
      </c>
    </row>
    <row r="41">
      <c r="A41" t="inlineStr">
        <is>
          <t>Singapore</t>
        </is>
      </c>
      <c r="B41" t="inlineStr"/>
      <c r="C41" t="n">
        <v>0</v>
      </c>
    </row>
    <row r="42">
      <c r="A42" t="inlineStr">
        <is>
          <t>Thailand</t>
        </is>
      </c>
      <c r="B42" t="inlineStr">
        <is>
          <t>Control Union</t>
        </is>
      </c>
      <c r="C42" t="n">
        <v>13</v>
      </c>
    </row>
    <row r="43">
      <c r="A43" t="inlineStr">
        <is>
          <t>Thailand</t>
        </is>
      </c>
      <c r="B43" t="inlineStr">
        <is>
          <t>PT Carsurin Certiva International</t>
        </is>
      </c>
      <c r="C43" t="n">
        <v>5</v>
      </c>
    </row>
    <row r="44">
      <c r="A44" t="inlineStr">
        <is>
          <t>Thailand</t>
        </is>
      </c>
      <c r="B44" t="inlineStr">
        <is>
          <t>PT Intertek Utama Services</t>
        </is>
      </c>
      <c r="C44" t="n">
        <v>1</v>
      </c>
    </row>
    <row r="45">
      <c r="A45" t="inlineStr">
        <is>
          <t>Thailand</t>
        </is>
      </c>
      <c r="B45" t="inlineStr"/>
      <c r="C45" t="n">
        <v>0</v>
      </c>
    </row>
    <row r="46">
      <c r="A46" t="inlineStr">
        <is>
          <t>Thailand</t>
        </is>
      </c>
      <c r="B46" t="inlineStr"/>
      <c r="C46" t="n">
        <v>0</v>
      </c>
    </row>
    <row r="47">
      <c r="A47" t="inlineStr">
        <is>
          <t>Thailand</t>
        </is>
      </c>
      <c r="B47" t="inlineStr"/>
      <c r="C47" t="n">
        <v>0</v>
      </c>
    </row>
    <row r="48">
      <c r="A48" t="inlineStr">
        <is>
          <t>Thailand</t>
        </is>
      </c>
      <c r="B48" t="inlineStr"/>
      <c r="C48" t="n">
        <v>0</v>
      </c>
    </row>
    <row r="49">
      <c r="A49" t="inlineStr">
        <is>
          <t>Thailand</t>
        </is>
      </c>
      <c r="B49" t="inlineStr"/>
      <c r="C49" t="n">
        <v>0</v>
      </c>
    </row>
    <row r="50">
      <c r="A50" t="inlineStr">
        <is>
          <t>Thailand</t>
        </is>
      </c>
      <c r="B50" t="inlineStr"/>
      <c r="C50" t="n">
        <v>0</v>
      </c>
    </row>
    <row r="51">
      <c r="A51" t="inlineStr">
        <is>
          <t>Thailand</t>
        </is>
      </c>
      <c r="B51" t="inlineStr"/>
      <c r="C51" t="n">
        <v>0</v>
      </c>
    </row>
    <row r="52">
      <c r="A52" t="inlineStr">
        <is>
          <t>Vietnam</t>
        </is>
      </c>
      <c r="B52" t="inlineStr">
        <is>
          <t>Control Union</t>
        </is>
      </c>
      <c r="C52" t="n">
        <v>8</v>
      </c>
    </row>
    <row r="53">
      <c r="A53" t="inlineStr">
        <is>
          <t>Vietnam</t>
        </is>
      </c>
      <c r="B53" t="inlineStr">
        <is>
          <t>PT Intertek Utama Services</t>
        </is>
      </c>
      <c r="C53" t="n">
        <v>6</v>
      </c>
    </row>
    <row r="54">
      <c r="A54" t="inlineStr">
        <is>
          <t>Vietnam</t>
        </is>
      </c>
      <c r="B54" t="inlineStr">
        <is>
          <t>BM Certification</t>
        </is>
      </c>
      <c r="C54" t="n">
        <v>2</v>
      </c>
    </row>
    <row r="55">
      <c r="A55" t="inlineStr">
        <is>
          <t>Vietnam</t>
        </is>
      </c>
      <c r="B55" t="inlineStr"/>
      <c r="C55" t="n">
        <v>0</v>
      </c>
    </row>
    <row r="56">
      <c r="A56" t="inlineStr">
        <is>
          <t>Vietnam</t>
        </is>
      </c>
      <c r="B56" t="inlineStr"/>
      <c r="C56" t="n">
        <v>0</v>
      </c>
    </row>
    <row r="57">
      <c r="A57" t="inlineStr">
        <is>
          <t>Vietnam</t>
        </is>
      </c>
      <c r="B57" t="inlineStr"/>
      <c r="C57" t="n">
        <v>0</v>
      </c>
    </row>
    <row r="58">
      <c r="A58" t="inlineStr">
        <is>
          <t>Vietnam</t>
        </is>
      </c>
      <c r="B58" t="inlineStr"/>
      <c r="C58" t="n">
        <v>0</v>
      </c>
    </row>
    <row r="59">
      <c r="A59" t="inlineStr">
        <is>
          <t>Vietnam</t>
        </is>
      </c>
      <c r="B59" t="inlineStr"/>
      <c r="C59" t="n">
        <v>0</v>
      </c>
    </row>
    <row r="60">
      <c r="A60" t="inlineStr">
        <is>
          <t>Vietnam</t>
        </is>
      </c>
      <c r="B60" t="inlineStr"/>
      <c r="C60" t="n">
        <v>0</v>
      </c>
    </row>
    <row r="61">
      <c r="A61" t="inlineStr">
        <is>
          <t>Vietnam</t>
        </is>
      </c>
      <c r="B61" t="inlineStr"/>
      <c r="C61" t="n">
        <v>0</v>
      </c>
    </row>
    <row r="62">
      <c r="A62" t="inlineStr">
        <is>
          <t>China</t>
        </is>
      </c>
      <c r="B62" t="inlineStr">
        <is>
          <t>Control Union</t>
        </is>
      </c>
      <c r="C62" t="n">
        <v>3</v>
      </c>
    </row>
    <row r="63">
      <c r="A63" t="inlineStr">
        <is>
          <t>China</t>
        </is>
      </c>
      <c r="B63" t="inlineStr">
        <is>
          <t>PT PCU Indonesia</t>
        </is>
      </c>
      <c r="C63" t="n">
        <v>2</v>
      </c>
    </row>
    <row r="64">
      <c r="A64" t="inlineStr">
        <is>
          <t>China</t>
        </is>
      </c>
      <c r="B64" t="inlineStr"/>
      <c r="C64" t="n">
        <v>0</v>
      </c>
    </row>
    <row r="65">
      <c r="A65" t="inlineStr">
        <is>
          <t>China</t>
        </is>
      </c>
      <c r="B65" t="inlineStr"/>
      <c r="C65" t="n">
        <v>0</v>
      </c>
    </row>
    <row r="66">
      <c r="A66" t="inlineStr">
        <is>
          <t>China</t>
        </is>
      </c>
      <c r="B66" t="inlineStr"/>
      <c r="C66" t="n">
        <v>0</v>
      </c>
    </row>
    <row r="67">
      <c r="A67" t="inlineStr">
        <is>
          <t>China</t>
        </is>
      </c>
      <c r="B67" t="inlineStr"/>
      <c r="C67" t="n">
        <v>0</v>
      </c>
    </row>
    <row r="68">
      <c r="A68" t="inlineStr">
        <is>
          <t>China</t>
        </is>
      </c>
      <c r="B68" t="inlineStr"/>
      <c r="C68" t="n">
        <v>0</v>
      </c>
    </row>
    <row r="69">
      <c r="A69" t="inlineStr">
        <is>
          <t>China</t>
        </is>
      </c>
      <c r="B69" t="inlineStr"/>
      <c r="C69" t="n">
        <v>0</v>
      </c>
    </row>
    <row r="70">
      <c r="A70" t="inlineStr">
        <is>
          <t>China</t>
        </is>
      </c>
      <c r="B70" t="inlineStr"/>
      <c r="C70" t="n">
        <v>0</v>
      </c>
    </row>
    <row r="71">
      <c r="A71" t="inlineStr">
        <is>
          <t>China</t>
        </is>
      </c>
      <c r="B71" t="inlineStr"/>
      <c r="C71" t="n">
        <v>0</v>
      </c>
    </row>
    <row r="72">
      <c r="A72" t="inlineStr">
        <is>
          <t>Netherlands</t>
        </is>
      </c>
      <c r="B72" t="inlineStr">
        <is>
          <t>Control Union</t>
        </is>
      </c>
      <c r="C72" t="n">
        <v>4</v>
      </c>
    </row>
    <row r="73">
      <c r="A73" t="inlineStr">
        <is>
          <t>Netherlands</t>
        </is>
      </c>
      <c r="B73" t="inlineStr"/>
      <c r="C73" t="n">
        <v>0</v>
      </c>
    </row>
    <row r="74">
      <c r="A74" t="inlineStr">
        <is>
          <t>Netherlands</t>
        </is>
      </c>
      <c r="B74" t="inlineStr"/>
      <c r="C74" t="n">
        <v>0</v>
      </c>
    </row>
    <row r="75">
      <c r="A75" t="inlineStr">
        <is>
          <t>Netherlands</t>
        </is>
      </c>
      <c r="B75" t="inlineStr"/>
      <c r="C75" t="n">
        <v>0</v>
      </c>
    </row>
    <row r="76">
      <c r="A76" t="inlineStr">
        <is>
          <t>Netherlands</t>
        </is>
      </c>
      <c r="B76" t="inlineStr"/>
      <c r="C76" t="n">
        <v>0</v>
      </c>
    </row>
    <row r="77">
      <c r="A77" t="inlineStr">
        <is>
          <t>Netherlands</t>
        </is>
      </c>
      <c r="B77" t="inlineStr"/>
      <c r="C77" t="n">
        <v>0</v>
      </c>
    </row>
    <row r="78">
      <c r="A78" t="inlineStr">
        <is>
          <t>Netherlands</t>
        </is>
      </c>
      <c r="B78" t="inlineStr"/>
      <c r="C78" t="n">
        <v>0</v>
      </c>
    </row>
    <row r="79">
      <c r="A79" t="inlineStr">
        <is>
          <t>Netherlands</t>
        </is>
      </c>
      <c r="B79" t="inlineStr"/>
      <c r="C79" t="n">
        <v>0</v>
      </c>
    </row>
    <row r="80">
      <c r="A80" t="inlineStr">
        <is>
          <t>Netherlands</t>
        </is>
      </c>
      <c r="B80" t="inlineStr"/>
      <c r="C80" t="n">
        <v>0</v>
      </c>
    </row>
    <row r="81">
      <c r="A81" t="inlineStr">
        <is>
          <t>Netherlands</t>
        </is>
      </c>
      <c r="B81" t="inlineStr"/>
      <c r="C81" t="n">
        <v>0</v>
      </c>
    </row>
    <row r="82">
      <c r="A82" t="inlineStr">
        <is>
          <t>Hong Kong</t>
        </is>
      </c>
      <c r="B82" t="inlineStr">
        <is>
          <t>Control Union</t>
        </is>
      </c>
      <c r="C82" t="n">
        <v>3</v>
      </c>
    </row>
    <row r="83">
      <c r="A83" t="inlineStr">
        <is>
          <t>Hong Kong</t>
        </is>
      </c>
      <c r="B83" t="inlineStr"/>
      <c r="C83" t="n">
        <v>0</v>
      </c>
    </row>
    <row r="84">
      <c r="A84" t="inlineStr">
        <is>
          <t>Hong Kong</t>
        </is>
      </c>
      <c r="B84" t="inlineStr"/>
      <c r="C84" t="n">
        <v>0</v>
      </c>
    </row>
    <row r="85">
      <c r="A85" t="inlineStr">
        <is>
          <t>Hong Kong</t>
        </is>
      </c>
      <c r="B85" t="inlineStr"/>
      <c r="C85" t="n">
        <v>0</v>
      </c>
    </row>
    <row r="86">
      <c r="A86" t="inlineStr">
        <is>
          <t>Hong Kong</t>
        </is>
      </c>
      <c r="B86" t="inlineStr"/>
      <c r="C86" t="n">
        <v>0</v>
      </c>
    </row>
    <row r="87">
      <c r="A87" t="inlineStr">
        <is>
          <t>Hong Kong</t>
        </is>
      </c>
      <c r="B87" t="inlineStr"/>
      <c r="C87" t="n">
        <v>0</v>
      </c>
    </row>
    <row r="88">
      <c r="A88" t="inlineStr">
        <is>
          <t>Hong Kong</t>
        </is>
      </c>
      <c r="B88" t="inlineStr"/>
      <c r="C88" t="n">
        <v>0</v>
      </c>
    </row>
    <row r="89">
      <c r="A89" t="inlineStr">
        <is>
          <t>Hong Kong</t>
        </is>
      </c>
      <c r="B89" t="inlineStr"/>
      <c r="C89" t="n">
        <v>0</v>
      </c>
    </row>
    <row r="90">
      <c r="A90" t="inlineStr">
        <is>
          <t>Hong Kong</t>
        </is>
      </c>
      <c r="B90" t="inlineStr"/>
      <c r="C90" t="n">
        <v>0</v>
      </c>
    </row>
    <row r="91">
      <c r="A91" t="inlineStr">
        <is>
          <t>Hong Kong</t>
        </is>
      </c>
      <c r="B91" t="inlineStr"/>
      <c r="C91" t="n">
        <v>0</v>
      </c>
    </row>
    <row r="92">
      <c r="A92" t="inlineStr">
        <is>
          <t>South Korea</t>
        </is>
      </c>
      <c r="B92" t="inlineStr">
        <is>
          <t>PT PCU Indonesia</t>
        </is>
      </c>
      <c r="C92" t="n">
        <v>2</v>
      </c>
    </row>
    <row r="93">
      <c r="A93" t="inlineStr">
        <is>
          <t>South Korea</t>
        </is>
      </c>
      <c r="B93" t="inlineStr">
        <is>
          <t>Control Union</t>
        </is>
      </c>
      <c r="C93" t="n">
        <v>1</v>
      </c>
    </row>
    <row r="94">
      <c r="A94" t="inlineStr">
        <is>
          <t>South Korea</t>
        </is>
      </c>
      <c r="B94" t="inlineStr"/>
      <c r="C94" t="n">
        <v>0</v>
      </c>
    </row>
    <row r="95">
      <c r="A95" t="inlineStr">
        <is>
          <t>South Korea</t>
        </is>
      </c>
      <c r="B95" t="inlineStr"/>
      <c r="C95" t="n">
        <v>0</v>
      </c>
    </row>
    <row r="96">
      <c r="A96" t="inlineStr">
        <is>
          <t>South Korea</t>
        </is>
      </c>
      <c r="B96" t="inlineStr"/>
      <c r="C96" t="n">
        <v>0</v>
      </c>
    </row>
    <row r="97">
      <c r="A97" t="inlineStr">
        <is>
          <t>South Korea</t>
        </is>
      </c>
      <c r="B97" t="inlineStr"/>
      <c r="C97" t="n">
        <v>0</v>
      </c>
    </row>
    <row r="98">
      <c r="A98" t="inlineStr">
        <is>
          <t>South Korea</t>
        </is>
      </c>
      <c r="B98" t="inlineStr"/>
      <c r="C98" t="n">
        <v>0</v>
      </c>
    </row>
    <row r="99">
      <c r="A99" t="inlineStr">
        <is>
          <t>South Korea</t>
        </is>
      </c>
      <c r="B99" t="inlineStr"/>
      <c r="C99" t="n">
        <v>0</v>
      </c>
    </row>
    <row r="100">
      <c r="A100" t="inlineStr">
        <is>
          <t>South Korea</t>
        </is>
      </c>
      <c r="B100" t="inlineStr"/>
      <c r="C100" t="n">
        <v>0</v>
      </c>
    </row>
    <row r="101">
      <c r="A101" t="inlineStr">
        <is>
          <t>South Korea</t>
        </is>
      </c>
      <c r="B101" t="inlineStr"/>
      <c r="C101" t="n">
        <v>0</v>
      </c>
    </row>
    <row r="102">
      <c r="A102" t="inlineStr">
        <is>
          <t>Portugal</t>
        </is>
      </c>
      <c r="B102" t="inlineStr">
        <is>
          <t>Control Union</t>
        </is>
      </c>
      <c r="C102" t="n">
        <v>3</v>
      </c>
    </row>
    <row r="103">
      <c r="A103" t="inlineStr">
        <is>
          <t>Portugal</t>
        </is>
      </c>
      <c r="B103" t="inlineStr"/>
      <c r="C103" t="n">
        <v>0</v>
      </c>
    </row>
    <row r="104">
      <c r="A104" t="inlineStr">
        <is>
          <t>Portugal</t>
        </is>
      </c>
      <c r="B104" t="inlineStr"/>
      <c r="C104" t="n">
        <v>0</v>
      </c>
    </row>
    <row r="105">
      <c r="A105" t="inlineStr">
        <is>
          <t>Portugal</t>
        </is>
      </c>
      <c r="B105" t="inlineStr"/>
      <c r="C105" t="n">
        <v>0</v>
      </c>
    </row>
    <row r="106">
      <c r="A106" t="inlineStr">
        <is>
          <t>Portugal</t>
        </is>
      </c>
      <c r="B106" t="inlineStr"/>
      <c r="C106" t="n">
        <v>0</v>
      </c>
    </row>
    <row r="107">
      <c r="A107" t="inlineStr">
        <is>
          <t>Portugal</t>
        </is>
      </c>
      <c r="B107" t="inlineStr"/>
      <c r="C107" t="n">
        <v>0</v>
      </c>
    </row>
    <row r="108">
      <c r="A108" t="inlineStr">
        <is>
          <t>Portugal</t>
        </is>
      </c>
      <c r="B108" t="inlineStr"/>
      <c r="C108" t="n">
        <v>0</v>
      </c>
    </row>
    <row r="109">
      <c r="A109" t="inlineStr">
        <is>
          <t>Portugal</t>
        </is>
      </c>
      <c r="B109" t="inlineStr"/>
      <c r="C109" t="n">
        <v>0</v>
      </c>
    </row>
    <row r="110">
      <c r="A110" t="inlineStr">
        <is>
          <t>Portugal</t>
        </is>
      </c>
      <c r="B110" t="inlineStr"/>
      <c r="C110" t="n">
        <v>0</v>
      </c>
    </row>
    <row r="111">
      <c r="A111" t="inlineStr">
        <is>
          <t>Portugal</t>
        </is>
      </c>
      <c r="B111" t="inlineStr"/>
      <c r="C111" t="n">
        <v>0</v>
      </c>
    </row>
    <row r="112">
      <c r="A112" t="inlineStr">
        <is>
          <t>Canada</t>
        </is>
      </c>
      <c r="B112" t="inlineStr">
        <is>
          <t>Control Union</t>
        </is>
      </c>
      <c r="C112" t="n">
        <v>3</v>
      </c>
    </row>
    <row r="113">
      <c r="A113" t="inlineStr">
        <is>
          <t>Canada</t>
        </is>
      </c>
      <c r="B113" t="inlineStr"/>
      <c r="C113" t="n">
        <v>0</v>
      </c>
    </row>
    <row r="114">
      <c r="A114" t="inlineStr">
        <is>
          <t>Canada</t>
        </is>
      </c>
      <c r="B114" t="inlineStr"/>
      <c r="C114" t="n">
        <v>0</v>
      </c>
    </row>
    <row r="115">
      <c r="A115" t="inlineStr">
        <is>
          <t>Canada</t>
        </is>
      </c>
      <c r="B115" t="inlineStr"/>
      <c r="C115" t="n">
        <v>0</v>
      </c>
    </row>
    <row r="116">
      <c r="A116" t="inlineStr">
        <is>
          <t>Canada</t>
        </is>
      </c>
      <c r="B116" t="inlineStr"/>
      <c r="C116" t="n">
        <v>0</v>
      </c>
    </row>
    <row r="117">
      <c r="A117" t="inlineStr">
        <is>
          <t>Canada</t>
        </is>
      </c>
      <c r="B117" t="inlineStr"/>
      <c r="C117" t="n">
        <v>0</v>
      </c>
    </row>
    <row r="118">
      <c r="A118" t="inlineStr">
        <is>
          <t>Canada</t>
        </is>
      </c>
      <c r="B118" t="inlineStr"/>
      <c r="C118" t="n">
        <v>0</v>
      </c>
    </row>
    <row r="119">
      <c r="A119" t="inlineStr">
        <is>
          <t>Canada</t>
        </is>
      </c>
      <c r="B119" t="inlineStr"/>
      <c r="C119" t="n">
        <v>0</v>
      </c>
    </row>
    <row r="120">
      <c r="A120" t="inlineStr">
        <is>
          <t>Canada</t>
        </is>
      </c>
      <c r="B120" t="inlineStr"/>
      <c r="C120" t="n">
        <v>0</v>
      </c>
    </row>
    <row r="121">
      <c r="A121" t="inlineStr">
        <is>
          <t>Canada</t>
        </is>
      </c>
      <c r="B121" t="inlineStr"/>
      <c r="C121" t="n">
        <v>0</v>
      </c>
    </row>
    <row r="122">
      <c r="A122" t="inlineStr">
        <is>
          <t>United States</t>
        </is>
      </c>
      <c r="B122" t="inlineStr">
        <is>
          <t>Control Union</t>
        </is>
      </c>
      <c r="C122" t="n">
        <v>2</v>
      </c>
    </row>
    <row r="123">
      <c r="A123" t="inlineStr">
        <is>
          <t>United States</t>
        </is>
      </c>
      <c r="B123" t="inlineStr"/>
      <c r="C123" t="n">
        <v>0</v>
      </c>
    </row>
    <row r="124">
      <c r="A124" t="inlineStr">
        <is>
          <t>United States</t>
        </is>
      </c>
      <c r="B124" t="inlineStr"/>
      <c r="C124" t="n">
        <v>0</v>
      </c>
    </row>
    <row r="125">
      <c r="A125" t="inlineStr">
        <is>
          <t>United States</t>
        </is>
      </c>
      <c r="B125" t="inlineStr"/>
      <c r="C125" t="n">
        <v>0</v>
      </c>
    </row>
    <row r="126">
      <c r="A126" t="inlineStr">
        <is>
          <t>United States</t>
        </is>
      </c>
      <c r="B126" t="inlineStr"/>
      <c r="C126" t="n">
        <v>0</v>
      </c>
    </row>
    <row r="127">
      <c r="A127" t="inlineStr">
        <is>
          <t>United States</t>
        </is>
      </c>
      <c r="B127" t="inlineStr"/>
      <c r="C127" t="n">
        <v>0</v>
      </c>
    </row>
    <row r="128">
      <c r="A128" t="inlineStr">
        <is>
          <t>United States</t>
        </is>
      </c>
      <c r="B128" t="inlineStr"/>
      <c r="C128" t="n">
        <v>0</v>
      </c>
    </row>
    <row r="129">
      <c r="A129" t="inlineStr">
        <is>
          <t>United States</t>
        </is>
      </c>
      <c r="B129" t="inlineStr"/>
      <c r="C129" t="n">
        <v>0</v>
      </c>
    </row>
    <row r="130">
      <c r="A130" t="inlineStr">
        <is>
          <t>United States</t>
        </is>
      </c>
      <c r="B130" t="inlineStr"/>
      <c r="C130" t="n">
        <v>0</v>
      </c>
    </row>
    <row r="131">
      <c r="A131" t="inlineStr">
        <is>
          <t>United States</t>
        </is>
      </c>
      <c r="B131" t="inlineStr"/>
      <c r="C131" t="n">
        <v>0</v>
      </c>
    </row>
    <row r="132">
      <c r="A132" t="inlineStr">
        <is>
          <t>Germany</t>
        </is>
      </c>
      <c r="B132" t="inlineStr">
        <is>
          <t>Control Union</t>
        </is>
      </c>
      <c r="C132" t="n">
        <v>2</v>
      </c>
    </row>
    <row r="133">
      <c r="A133" t="inlineStr">
        <is>
          <t>Germany</t>
        </is>
      </c>
      <c r="B133" t="inlineStr"/>
      <c r="C133" t="n">
        <v>0</v>
      </c>
    </row>
    <row r="134">
      <c r="A134" t="inlineStr">
        <is>
          <t>Germany</t>
        </is>
      </c>
      <c r="B134" t="inlineStr"/>
      <c r="C134" t="n">
        <v>0</v>
      </c>
    </row>
    <row r="135">
      <c r="A135" t="inlineStr">
        <is>
          <t>Germany</t>
        </is>
      </c>
      <c r="B135" t="inlineStr"/>
      <c r="C135" t="n">
        <v>0</v>
      </c>
    </row>
    <row r="136">
      <c r="A136" t="inlineStr">
        <is>
          <t>Germany</t>
        </is>
      </c>
      <c r="B136" t="inlineStr"/>
      <c r="C136" t="n">
        <v>0</v>
      </c>
    </row>
    <row r="137">
      <c r="A137" t="inlineStr">
        <is>
          <t>Germany</t>
        </is>
      </c>
      <c r="B137" t="inlineStr"/>
      <c r="C137" t="n">
        <v>0</v>
      </c>
    </row>
    <row r="138">
      <c r="A138" t="inlineStr">
        <is>
          <t>Germany</t>
        </is>
      </c>
      <c r="B138" t="inlineStr"/>
      <c r="C138" t="n">
        <v>0</v>
      </c>
    </row>
    <row r="139">
      <c r="A139" t="inlineStr">
        <is>
          <t>Germany</t>
        </is>
      </c>
      <c r="B139" t="inlineStr"/>
      <c r="C139" t="n">
        <v>0</v>
      </c>
    </row>
    <row r="140">
      <c r="A140" t="inlineStr">
        <is>
          <t>Germany</t>
        </is>
      </c>
      <c r="B140" t="inlineStr"/>
      <c r="C140" t="n">
        <v>0</v>
      </c>
    </row>
    <row r="141">
      <c r="A141" t="inlineStr">
        <is>
          <t>Germany</t>
        </is>
      </c>
      <c r="B141" t="inlineStr"/>
      <c r="C141" t="n">
        <v>0</v>
      </c>
    </row>
    <row r="142">
      <c r="A142" t="inlineStr">
        <is>
          <t>Denmark</t>
        </is>
      </c>
      <c r="B142" t="inlineStr">
        <is>
          <t>Control Union</t>
        </is>
      </c>
      <c r="C142" t="n">
        <v>1</v>
      </c>
    </row>
    <row r="143">
      <c r="A143" t="inlineStr">
        <is>
          <t>Denmark</t>
        </is>
      </c>
      <c r="B143" t="inlineStr"/>
      <c r="C143" t="n">
        <v>0</v>
      </c>
    </row>
    <row r="144">
      <c r="A144" t="inlineStr">
        <is>
          <t>Denmark</t>
        </is>
      </c>
      <c r="B144" t="inlineStr"/>
      <c r="C144" t="n">
        <v>0</v>
      </c>
    </row>
    <row r="145">
      <c r="A145" t="inlineStr">
        <is>
          <t>Denmark</t>
        </is>
      </c>
      <c r="B145" t="inlineStr"/>
      <c r="C145" t="n">
        <v>0</v>
      </c>
    </row>
    <row r="146">
      <c r="A146" t="inlineStr">
        <is>
          <t>Denmark</t>
        </is>
      </c>
      <c r="B146" t="inlineStr"/>
      <c r="C146" t="n">
        <v>0</v>
      </c>
    </row>
    <row r="147">
      <c r="A147" t="inlineStr">
        <is>
          <t>Denmark</t>
        </is>
      </c>
      <c r="B147" t="inlineStr"/>
      <c r="C147" t="n">
        <v>0</v>
      </c>
    </row>
    <row r="148">
      <c r="A148" t="inlineStr">
        <is>
          <t>Denmark</t>
        </is>
      </c>
      <c r="B148" t="inlineStr"/>
      <c r="C148" t="n">
        <v>0</v>
      </c>
    </row>
    <row r="149">
      <c r="A149" t="inlineStr">
        <is>
          <t>Denmark</t>
        </is>
      </c>
      <c r="B149" t="inlineStr"/>
      <c r="C149" t="n">
        <v>0</v>
      </c>
    </row>
    <row r="150">
      <c r="A150" t="inlineStr">
        <is>
          <t>Denmark</t>
        </is>
      </c>
      <c r="B150" t="inlineStr"/>
      <c r="C150" t="n">
        <v>0</v>
      </c>
    </row>
    <row r="151">
      <c r="A151" t="inlineStr">
        <is>
          <t>Denmark</t>
        </is>
      </c>
      <c r="B151" t="inlineStr"/>
      <c r="C151" t="n">
        <v>0</v>
      </c>
    </row>
    <row r="152">
      <c r="A152" t="inlineStr">
        <is>
          <t>Spain</t>
        </is>
      </c>
      <c r="B152" t="inlineStr">
        <is>
          <t>BM Certification</t>
        </is>
      </c>
      <c r="C152" t="n">
        <v>1</v>
      </c>
    </row>
    <row r="153">
      <c r="A153" t="inlineStr">
        <is>
          <t>Spain</t>
        </is>
      </c>
      <c r="B153" t="inlineStr"/>
      <c r="C153" t="n">
        <v>0</v>
      </c>
    </row>
    <row r="154">
      <c r="A154" t="inlineStr">
        <is>
          <t>Spain</t>
        </is>
      </c>
      <c r="B154" t="inlineStr"/>
      <c r="C154" t="n">
        <v>0</v>
      </c>
    </row>
    <row r="155">
      <c r="A155" t="inlineStr">
        <is>
          <t>Spain</t>
        </is>
      </c>
      <c r="B155" t="inlineStr"/>
      <c r="C155" t="n">
        <v>0</v>
      </c>
    </row>
    <row r="156">
      <c r="A156" t="inlineStr">
        <is>
          <t>Spain</t>
        </is>
      </c>
      <c r="B156" t="inlineStr"/>
      <c r="C156" t="n">
        <v>0</v>
      </c>
    </row>
    <row r="157">
      <c r="A157" t="inlineStr">
        <is>
          <t>Spain</t>
        </is>
      </c>
      <c r="B157" t="inlineStr"/>
      <c r="C157" t="n">
        <v>0</v>
      </c>
    </row>
    <row r="158">
      <c r="A158" t="inlineStr">
        <is>
          <t>Spain</t>
        </is>
      </c>
      <c r="B158" t="inlineStr"/>
      <c r="C158" t="n">
        <v>0</v>
      </c>
    </row>
    <row r="159">
      <c r="A159" t="inlineStr">
        <is>
          <t>Spain</t>
        </is>
      </c>
      <c r="B159" t="inlineStr"/>
      <c r="C159" t="n">
        <v>0</v>
      </c>
    </row>
    <row r="160">
      <c r="A160" t="inlineStr">
        <is>
          <t>Spain</t>
        </is>
      </c>
      <c r="B160" t="inlineStr"/>
      <c r="C160" t="n">
        <v>0</v>
      </c>
    </row>
    <row r="161">
      <c r="A161" t="inlineStr">
        <is>
          <t>Spain</t>
        </is>
      </c>
      <c r="B161" t="inlineStr"/>
      <c r="C161" t="n">
        <v>0</v>
      </c>
    </row>
    <row r="162">
      <c r="A162" t="inlineStr">
        <is>
          <t>United Kingdom</t>
        </is>
      </c>
      <c r="B162" t="inlineStr">
        <is>
          <t>Control Union</t>
        </is>
      </c>
      <c r="C162" t="n">
        <v>1</v>
      </c>
    </row>
    <row r="163">
      <c r="A163" t="inlineStr">
        <is>
          <t>United Kingdom</t>
        </is>
      </c>
      <c r="B163" t="inlineStr"/>
      <c r="C163" t="n">
        <v>0</v>
      </c>
    </row>
    <row r="164">
      <c r="A164" t="inlineStr">
        <is>
          <t>United Kingdom</t>
        </is>
      </c>
      <c r="B164" t="inlineStr"/>
      <c r="C164" t="n">
        <v>0</v>
      </c>
    </row>
    <row r="165">
      <c r="A165" t="inlineStr">
        <is>
          <t>United Kingdom</t>
        </is>
      </c>
      <c r="B165" t="inlineStr"/>
      <c r="C165" t="n">
        <v>0</v>
      </c>
    </row>
    <row r="166">
      <c r="A166" t="inlineStr">
        <is>
          <t>United Kingdom</t>
        </is>
      </c>
      <c r="B166" t="inlineStr"/>
      <c r="C166" t="n">
        <v>0</v>
      </c>
    </row>
    <row r="167">
      <c r="A167" t="inlineStr">
        <is>
          <t>United Kingdom</t>
        </is>
      </c>
      <c r="B167" t="inlineStr"/>
      <c r="C167" t="n">
        <v>0</v>
      </c>
    </row>
    <row r="168">
      <c r="A168" t="inlineStr">
        <is>
          <t>United Kingdom</t>
        </is>
      </c>
      <c r="B168" t="inlineStr"/>
      <c r="C168" t="n">
        <v>0</v>
      </c>
    </row>
    <row r="169">
      <c r="A169" t="inlineStr">
        <is>
          <t>United Kingdom</t>
        </is>
      </c>
      <c r="B169" t="inlineStr"/>
      <c r="C169" t="n">
        <v>0</v>
      </c>
    </row>
    <row r="170">
      <c r="A170" t="inlineStr">
        <is>
          <t>United Kingdom</t>
        </is>
      </c>
      <c r="B170" t="inlineStr"/>
      <c r="C170" t="n">
        <v>0</v>
      </c>
    </row>
    <row r="171">
      <c r="A171" t="inlineStr">
        <is>
          <t>United Kingdom</t>
        </is>
      </c>
      <c r="B171" t="inlineStr"/>
      <c r="C171" t="n">
        <v>0</v>
      </c>
    </row>
    <row r="172">
      <c r="A172" t="inlineStr">
        <is>
          <t>India</t>
        </is>
      </c>
      <c r="B172" t="inlineStr">
        <is>
          <t>Trans Certification &amp; Inspection SDN. BHD.</t>
        </is>
      </c>
      <c r="C172" t="n">
        <v>1</v>
      </c>
    </row>
    <row r="173">
      <c r="A173" t="inlineStr">
        <is>
          <t>India</t>
        </is>
      </c>
      <c r="B173" t="inlineStr"/>
      <c r="C173" t="n">
        <v>0</v>
      </c>
    </row>
    <row r="174">
      <c r="A174" t="inlineStr">
        <is>
          <t>India</t>
        </is>
      </c>
      <c r="B174" t="inlineStr"/>
      <c r="C174" t="n">
        <v>0</v>
      </c>
    </row>
    <row r="175">
      <c r="A175" t="inlineStr">
        <is>
          <t>India</t>
        </is>
      </c>
      <c r="B175" t="inlineStr"/>
      <c r="C175" t="n">
        <v>0</v>
      </c>
    </row>
    <row r="176">
      <c r="A176" t="inlineStr">
        <is>
          <t>India</t>
        </is>
      </c>
      <c r="B176" t="inlineStr"/>
      <c r="C176" t="n">
        <v>0</v>
      </c>
    </row>
    <row r="177">
      <c r="A177" t="inlineStr">
        <is>
          <t>India</t>
        </is>
      </c>
      <c r="B177" t="inlineStr"/>
      <c r="C177" t="n">
        <v>0</v>
      </c>
    </row>
    <row r="178">
      <c r="A178" t="inlineStr">
        <is>
          <t>India</t>
        </is>
      </c>
      <c r="B178" t="inlineStr"/>
      <c r="C178" t="n">
        <v>0</v>
      </c>
    </row>
    <row r="179">
      <c r="A179" t="inlineStr">
        <is>
          <t>India</t>
        </is>
      </c>
      <c r="B179" t="inlineStr"/>
      <c r="C179" t="n">
        <v>0</v>
      </c>
    </row>
    <row r="180">
      <c r="A180" t="inlineStr">
        <is>
          <t>India</t>
        </is>
      </c>
      <c r="B180" t="inlineStr"/>
      <c r="C180" t="n">
        <v>0</v>
      </c>
    </row>
    <row r="181">
      <c r="A181" t="inlineStr">
        <is>
          <t>India</t>
        </is>
      </c>
      <c r="B181" t="inlineStr"/>
      <c r="C181" t="n">
        <v>0</v>
      </c>
    </row>
    <row r="182">
      <c r="A182" t="inlineStr">
        <is>
          <t>Egypt</t>
        </is>
      </c>
      <c r="B182" t="inlineStr">
        <is>
          <t>Control Union</t>
        </is>
      </c>
      <c r="C182" t="n">
        <v>1</v>
      </c>
    </row>
    <row r="183">
      <c r="A183" t="inlineStr">
        <is>
          <t>Egypt</t>
        </is>
      </c>
      <c r="B183" t="inlineStr"/>
      <c r="C183" t="n">
        <v>0</v>
      </c>
    </row>
    <row r="184">
      <c r="A184" t="inlineStr">
        <is>
          <t>Egypt</t>
        </is>
      </c>
      <c r="B184" t="inlineStr"/>
      <c r="C184" t="n">
        <v>0</v>
      </c>
    </row>
    <row r="185">
      <c r="A185" t="inlineStr">
        <is>
          <t>Egypt</t>
        </is>
      </c>
      <c r="B185" t="inlineStr"/>
      <c r="C185" t="n">
        <v>0</v>
      </c>
    </row>
    <row r="186">
      <c r="A186" t="inlineStr">
        <is>
          <t>Egypt</t>
        </is>
      </c>
      <c r="B186" t="inlineStr"/>
      <c r="C186" t="n">
        <v>0</v>
      </c>
    </row>
    <row r="187">
      <c r="A187" t="inlineStr">
        <is>
          <t>Egypt</t>
        </is>
      </c>
      <c r="B187" t="inlineStr"/>
      <c r="C187" t="n">
        <v>0</v>
      </c>
    </row>
    <row r="188">
      <c r="A188" t="inlineStr">
        <is>
          <t>Egypt</t>
        </is>
      </c>
      <c r="B188" t="inlineStr"/>
      <c r="C188" t="n">
        <v>0</v>
      </c>
    </row>
    <row r="189">
      <c r="A189" t="inlineStr">
        <is>
          <t>Egypt</t>
        </is>
      </c>
      <c r="B189" t="inlineStr"/>
      <c r="C189" t="n">
        <v>0</v>
      </c>
    </row>
    <row r="190">
      <c r="A190" t="inlineStr">
        <is>
          <t>Egypt</t>
        </is>
      </c>
      <c r="B190" t="inlineStr"/>
      <c r="C190" t="n">
        <v>0</v>
      </c>
    </row>
    <row r="191">
      <c r="A191" t="inlineStr">
        <is>
          <t>Egypt</t>
        </is>
      </c>
      <c r="B191" t="inlineStr"/>
      <c r="C191" t="n">
        <v>0</v>
      </c>
    </row>
    <row r="192">
      <c r="A192" t="inlineStr">
        <is>
          <t>Switzerland</t>
        </is>
      </c>
      <c r="B192" t="inlineStr">
        <is>
          <t>Control Union</t>
        </is>
      </c>
      <c r="C192" t="n">
        <v>1</v>
      </c>
    </row>
    <row r="193">
      <c r="A193" t="inlineStr">
        <is>
          <t>Switzerland</t>
        </is>
      </c>
      <c r="B193" t="inlineStr"/>
      <c r="C193" t="n">
        <v>0</v>
      </c>
    </row>
    <row r="194">
      <c r="A194" t="inlineStr">
        <is>
          <t>Switzerland</t>
        </is>
      </c>
      <c r="B194" t="inlineStr"/>
      <c r="C194" t="n">
        <v>0</v>
      </c>
    </row>
    <row r="195">
      <c r="A195" t="inlineStr">
        <is>
          <t>Switzerland</t>
        </is>
      </c>
      <c r="B195" t="inlineStr"/>
      <c r="C195" t="n">
        <v>0</v>
      </c>
    </row>
    <row r="196">
      <c r="A196" t="inlineStr">
        <is>
          <t>Switzerland</t>
        </is>
      </c>
      <c r="B196" t="inlineStr"/>
      <c r="C196" t="n">
        <v>0</v>
      </c>
    </row>
    <row r="197">
      <c r="A197" t="inlineStr">
        <is>
          <t>Switzerland</t>
        </is>
      </c>
      <c r="B197" t="inlineStr"/>
      <c r="C197" t="n">
        <v>0</v>
      </c>
    </row>
    <row r="198">
      <c r="A198" t="inlineStr">
        <is>
          <t>Switzerland</t>
        </is>
      </c>
      <c r="B198" t="inlineStr"/>
      <c r="C198" t="n">
        <v>0</v>
      </c>
    </row>
    <row r="199">
      <c r="A199" t="inlineStr">
        <is>
          <t>Switzerland</t>
        </is>
      </c>
      <c r="B199" t="inlineStr"/>
      <c r="C199" t="n">
        <v>0</v>
      </c>
    </row>
    <row r="200">
      <c r="A200" t="inlineStr">
        <is>
          <t>Switzerland</t>
        </is>
      </c>
      <c r="B200" t="inlineStr"/>
      <c r="C200" t="n">
        <v>0</v>
      </c>
    </row>
    <row r="201">
      <c r="A201" t="inlineStr">
        <is>
          <t>Switzerland</t>
        </is>
      </c>
      <c r="B201" t="inlineStr"/>
      <c r="C201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CB</t>
        </is>
      </c>
      <c r="B1" t="inlineStr">
        <is>
          <t>Country</t>
        </is>
      </c>
      <c r="C1" t="inlineStr">
        <is>
          <t>Count</t>
        </is>
      </c>
    </row>
    <row r="2">
      <c r="A2" t="inlineStr">
        <is>
          <t>Control Union</t>
        </is>
      </c>
      <c r="B2" t="inlineStr">
        <is>
          <t>Japan</t>
        </is>
      </c>
      <c r="C2" t="n">
        <v>102</v>
      </c>
    </row>
    <row r="3">
      <c r="A3" t="inlineStr">
        <is>
          <t>Control Union</t>
        </is>
      </c>
      <c r="B3" t="inlineStr">
        <is>
          <t>Malaysia</t>
        </is>
      </c>
      <c r="C3" t="n">
        <v>58</v>
      </c>
    </row>
    <row r="4">
      <c r="A4" t="inlineStr">
        <is>
          <t>Control Union</t>
        </is>
      </c>
      <c r="B4" t="inlineStr">
        <is>
          <t>Indonesia</t>
        </is>
      </c>
      <c r="C4" t="n">
        <v>18</v>
      </c>
    </row>
    <row r="5">
      <c r="A5" t="inlineStr">
        <is>
          <t>Control Union</t>
        </is>
      </c>
      <c r="B5" t="inlineStr">
        <is>
          <t>Singapore</t>
        </is>
      </c>
      <c r="C5" t="n">
        <v>15</v>
      </c>
    </row>
    <row r="6">
      <c r="A6" t="inlineStr">
        <is>
          <t>Control Union</t>
        </is>
      </c>
      <c r="B6" t="inlineStr">
        <is>
          <t>Thailand</t>
        </is>
      </c>
      <c r="C6" t="n">
        <v>13</v>
      </c>
    </row>
    <row r="7">
      <c r="A7" t="inlineStr">
        <is>
          <t>Control Union</t>
        </is>
      </c>
      <c r="B7" t="inlineStr">
        <is>
          <t>Vietnam</t>
        </is>
      </c>
      <c r="C7" t="n">
        <v>8</v>
      </c>
    </row>
    <row r="8">
      <c r="A8" t="inlineStr">
        <is>
          <t>Control Union</t>
        </is>
      </c>
      <c r="B8" t="inlineStr">
        <is>
          <t>Netherlands</t>
        </is>
      </c>
      <c r="C8" t="n">
        <v>4</v>
      </c>
    </row>
    <row r="9">
      <c r="A9" t="inlineStr">
        <is>
          <t>Control Union</t>
        </is>
      </c>
      <c r="B9" t="inlineStr">
        <is>
          <t>Hong Kong</t>
        </is>
      </c>
      <c r="C9" t="n">
        <v>3</v>
      </c>
    </row>
    <row r="10">
      <c r="A10" t="inlineStr">
        <is>
          <t>Control Union</t>
        </is>
      </c>
      <c r="B10" t="inlineStr">
        <is>
          <t>Portugal</t>
        </is>
      </c>
      <c r="C10" t="n">
        <v>3</v>
      </c>
    </row>
    <row r="11">
      <c r="A11" t="inlineStr">
        <is>
          <t>Control Union</t>
        </is>
      </c>
      <c r="B11" t="inlineStr">
        <is>
          <t>Canada</t>
        </is>
      </c>
      <c r="C11" t="n">
        <v>3</v>
      </c>
    </row>
    <row r="12">
      <c r="A12" t="inlineStr">
        <is>
          <t>PT Carsurin Certiva International</t>
        </is>
      </c>
      <c r="B12" t="inlineStr">
        <is>
          <t>Indonesia</t>
        </is>
      </c>
      <c r="C12" t="n">
        <v>58</v>
      </c>
    </row>
    <row r="13">
      <c r="A13" t="inlineStr">
        <is>
          <t>PT Carsurin Certiva International</t>
        </is>
      </c>
      <c r="B13" t="inlineStr">
        <is>
          <t>Thailand</t>
        </is>
      </c>
      <c r="C13" t="n">
        <v>5</v>
      </c>
    </row>
    <row r="14">
      <c r="A14" t="inlineStr">
        <is>
          <t>PT Carsurin Certiva International</t>
        </is>
      </c>
      <c r="B14" t="inlineStr">
        <is>
          <t>Singapore</t>
        </is>
      </c>
      <c r="C14" t="n">
        <v>4</v>
      </c>
    </row>
    <row r="15">
      <c r="A15" t="inlineStr">
        <is>
          <t>PT Carsurin Certiva International</t>
        </is>
      </c>
      <c r="B15" t="inlineStr">
        <is>
          <t>Malaysia</t>
        </is>
      </c>
      <c r="C15" t="n">
        <v>2</v>
      </c>
    </row>
    <row r="16">
      <c r="A16" t="inlineStr">
        <is>
          <t>PT Carsurin Certiva International</t>
        </is>
      </c>
      <c r="B16" t="inlineStr">
        <is>
          <t>Japan</t>
        </is>
      </c>
      <c r="C16" t="n">
        <v>1</v>
      </c>
    </row>
    <row r="17">
      <c r="A17" t="inlineStr">
        <is>
          <t>PT Carsurin Certiva International</t>
        </is>
      </c>
      <c r="B17" t="inlineStr"/>
      <c r="C17" t="n">
        <v>0</v>
      </c>
    </row>
    <row r="18">
      <c r="A18" t="inlineStr">
        <is>
          <t>PT Carsurin Certiva International</t>
        </is>
      </c>
      <c r="B18" t="inlineStr"/>
      <c r="C18" t="n">
        <v>0</v>
      </c>
    </row>
    <row r="19">
      <c r="A19" t="inlineStr">
        <is>
          <t>PT Carsurin Certiva International</t>
        </is>
      </c>
      <c r="B19" t="inlineStr"/>
      <c r="C19" t="n">
        <v>0</v>
      </c>
    </row>
    <row r="20">
      <c r="A20" t="inlineStr">
        <is>
          <t>PT Carsurin Certiva International</t>
        </is>
      </c>
      <c r="B20" t="inlineStr"/>
      <c r="C20" t="n">
        <v>0</v>
      </c>
    </row>
    <row r="21">
      <c r="A21" t="inlineStr">
        <is>
          <t>PT Carsurin Certiva International</t>
        </is>
      </c>
      <c r="B21" t="inlineStr"/>
      <c r="C21" t="n">
        <v>0</v>
      </c>
    </row>
    <row r="22">
      <c r="A22" t="inlineStr">
        <is>
          <t>PT SBC Asia Sertifikasi</t>
        </is>
      </c>
      <c r="B22" t="inlineStr">
        <is>
          <t>Indonesia</t>
        </is>
      </c>
      <c r="C22" t="n">
        <v>15</v>
      </c>
    </row>
    <row r="23">
      <c r="A23" t="inlineStr">
        <is>
          <t>PT SBC Asia Sertifikasi</t>
        </is>
      </c>
      <c r="B23" t="inlineStr">
        <is>
          <t>Singapore</t>
        </is>
      </c>
      <c r="C23" t="n">
        <v>1</v>
      </c>
    </row>
    <row r="24">
      <c r="A24" t="inlineStr">
        <is>
          <t>PT SBC Asia Sertifikasi</t>
        </is>
      </c>
      <c r="B24" t="inlineStr"/>
      <c r="C24" t="n">
        <v>0</v>
      </c>
    </row>
    <row r="25">
      <c r="A25" t="inlineStr">
        <is>
          <t>PT SBC Asia Sertifikasi</t>
        </is>
      </c>
      <c r="B25" t="inlineStr"/>
      <c r="C25" t="n">
        <v>0</v>
      </c>
    </row>
    <row r="26">
      <c r="A26" t="inlineStr">
        <is>
          <t>PT SBC Asia Sertifikasi</t>
        </is>
      </c>
      <c r="B26" t="inlineStr"/>
      <c r="C26" t="n">
        <v>0</v>
      </c>
    </row>
    <row r="27">
      <c r="A27" t="inlineStr">
        <is>
          <t>PT SBC Asia Sertifikasi</t>
        </is>
      </c>
      <c r="B27" t="inlineStr"/>
      <c r="C27" t="n">
        <v>0</v>
      </c>
    </row>
    <row r="28">
      <c r="A28" t="inlineStr">
        <is>
          <t>PT SBC Asia Sertifikasi</t>
        </is>
      </c>
      <c r="B28" t="inlineStr"/>
      <c r="C28" t="n">
        <v>0</v>
      </c>
    </row>
    <row r="29">
      <c r="A29" t="inlineStr">
        <is>
          <t>PT SBC Asia Sertifikasi</t>
        </is>
      </c>
      <c r="B29" t="inlineStr"/>
      <c r="C29" t="n">
        <v>0</v>
      </c>
    </row>
    <row r="30">
      <c r="A30" t="inlineStr">
        <is>
          <t>PT SBC Asia Sertifikasi</t>
        </is>
      </c>
      <c r="B30" t="inlineStr"/>
      <c r="C30" t="n">
        <v>0</v>
      </c>
    </row>
    <row r="31">
      <c r="A31" t="inlineStr">
        <is>
          <t>PT SBC Asia Sertifikasi</t>
        </is>
      </c>
      <c r="B31" t="inlineStr"/>
      <c r="C31" t="n">
        <v>0</v>
      </c>
    </row>
    <row r="32">
      <c r="A32" t="inlineStr">
        <is>
          <t>Trans Certification &amp; Inspection SDN. BHD.</t>
        </is>
      </c>
      <c r="B32" t="inlineStr">
        <is>
          <t>Malaysia</t>
        </is>
      </c>
      <c r="C32" t="n">
        <v>14</v>
      </c>
    </row>
    <row r="33">
      <c r="A33" t="inlineStr">
        <is>
          <t>Trans Certification &amp; Inspection SDN. BHD.</t>
        </is>
      </c>
      <c r="B33" t="inlineStr">
        <is>
          <t>Indonesia</t>
        </is>
      </c>
      <c r="C33" t="n">
        <v>1</v>
      </c>
    </row>
    <row r="34">
      <c r="A34" t="inlineStr">
        <is>
          <t>Trans Certification &amp; Inspection SDN. BHD.</t>
        </is>
      </c>
      <c r="B34" t="inlineStr">
        <is>
          <t>India</t>
        </is>
      </c>
      <c r="C34" t="n">
        <v>1</v>
      </c>
    </row>
    <row r="35">
      <c r="A35" t="inlineStr">
        <is>
          <t>Trans Certification &amp; Inspection SDN. BHD.</t>
        </is>
      </c>
      <c r="B35" t="inlineStr"/>
      <c r="C35" t="n">
        <v>0</v>
      </c>
    </row>
    <row r="36">
      <c r="A36" t="inlineStr">
        <is>
          <t>Trans Certification &amp; Inspection SDN. BHD.</t>
        </is>
      </c>
      <c r="B36" t="inlineStr"/>
      <c r="C36" t="n">
        <v>0</v>
      </c>
    </row>
    <row r="37">
      <c r="A37" t="inlineStr">
        <is>
          <t>Trans Certification &amp; Inspection SDN. BHD.</t>
        </is>
      </c>
      <c r="B37" t="inlineStr"/>
      <c r="C37" t="n">
        <v>0</v>
      </c>
    </row>
    <row r="38">
      <c r="A38" t="inlineStr">
        <is>
          <t>Trans Certification &amp; Inspection SDN. BHD.</t>
        </is>
      </c>
      <c r="B38" t="inlineStr"/>
      <c r="C38" t="n">
        <v>0</v>
      </c>
    </row>
    <row r="39">
      <c r="A39" t="inlineStr">
        <is>
          <t>Trans Certification &amp; Inspection SDN. BHD.</t>
        </is>
      </c>
      <c r="B39" t="inlineStr"/>
      <c r="C39" t="n">
        <v>0</v>
      </c>
    </row>
    <row r="40">
      <c r="A40" t="inlineStr">
        <is>
          <t>Trans Certification &amp; Inspection SDN. BHD.</t>
        </is>
      </c>
      <c r="B40" t="inlineStr"/>
      <c r="C40" t="n">
        <v>0</v>
      </c>
    </row>
    <row r="41">
      <c r="A41" t="inlineStr">
        <is>
          <t>Trans Certification &amp; Inspection SDN. BHD.</t>
        </is>
      </c>
      <c r="B41" t="inlineStr"/>
      <c r="C41" t="n">
        <v>0</v>
      </c>
    </row>
    <row r="42">
      <c r="A42" t="inlineStr">
        <is>
          <t>PT PCU Indonesia</t>
        </is>
      </c>
      <c r="B42" t="inlineStr">
        <is>
          <t>Indonesia</t>
        </is>
      </c>
      <c r="C42" t="n">
        <v>8</v>
      </c>
    </row>
    <row r="43">
      <c r="A43" t="inlineStr">
        <is>
          <t>PT PCU Indonesia</t>
        </is>
      </c>
      <c r="B43" t="inlineStr">
        <is>
          <t>South Korea</t>
        </is>
      </c>
      <c r="C43" t="n">
        <v>2</v>
      </c>
    </row>
    <row r="44">
      <c r="A44" t="inlineStr">
        <is>
          <t>PT PCU Indonesia</t>
        </is>
      </c>
      <c r="B44" t="inlineStr">
        <is>
          <t>China</t>
        </is>
      </c>
      <c r="C44" t="n">
        <v>2</v>
      </c>
    </row>
    <row r="45">
      <c r="A45" t="inlineStr">
        <is>
          <t>PT PCU Indonesia</t>
        </is>
      </c>
      <c r="B45" t="inlineStr">
        <is>
          <t>Malaysia</t>
        </is>
      </c>
      <c r="C45" t="n">
        <v>1</v>
      </c>
    </row>
    <row r="46">
      <c r="A46" t="inlineStr">
        <is>
          <t>PT PCU Indonesia</t>
        </is>
      </c>
      <c r="B46" t="inlineStr"/>
      <c r="C46" t="n">
        <v>0</v>
      </c>
    </row>
    <row r="47">
      <c r="A47" t="inlineStr">
        <is>
          <t>PT PCU Indonesia</t>
        </is>
      </c>
      <c r="B47" t="inlineStr"/>
      <c r="C47" t="n">
        <v>0</v>
      </c>
    </row>
    <row r="48">
      <c r="A48" t="inlineStr">
        <is>
          <t>PT PCU Indonesia</t>
        </is>
      </c>
      <c r="B48" t="inlineStr"/>
      <c r="C48" t="n">
        <v>0</v>
      </c>
    </row>
    <row r="49">
      <c r="A49" t="inlineStr">
        <is>
          <t>PT PCU Indonesia</t>
        </is>
      </c>
      <c r="B49" t="inlineStr"/>
      <c r="C49" t="n">
        <v>0</v>
      </c>
    </row>
    <row r="50">
      <c r="A50" t="inlineStr">
        <is>
          <t>PT PCU Indonesia</t>
        </is>
      </c>
      <c r="B50" t="inlineStr"/>
      <c r="C50" t="n">
        <v>0</v>
      </c>
    </row>
    <row r="51">
      <c r="A51" t="inlineStr">
        <is>
          <t>PT PCU Indonesia</t>
        </is>
      </c>
      <c r="B51" t="inlineStr"/>
      <c r="C51" t="n">
        <v>0</v>
      </c>
    </row>
    <row r="52">
      <c r="A52" t="inlineStr">
        <is>
          <t>BM Certification</t>
        </is>
      </c>
      <c r="B52" t="inlineStr">
        <is>
          <t>Indonesia</t>
        </is>
      </c>
      <c r="C52" t="n">
        <v>8</v>
      </c>
    </row>
    <row r="53">
      <c r="A53" t="inlineStr">
        <is>
          <t>BM Certification</t>
        </is>
      </c>
      <c r="B53" t="inlineStr">
        <is>
          <t>Vietnam</t>
        </is>
      </c>
      <c r="C53" t="n">
        <v>2</v>
      </c>
    </row>
    <row r="54">
      <c r="A54" t="inlineStr">
        <is>
          <t>BM Certification</t>
        </is>
      </c>
      <c r="B54" t="inlineStr">
        <is>
          <t>Singapore</t>
        </is>
      </c>
      <c r="C54" t="n">
        <v>1</v>
      </c>
    </row>
    <row r="55">
      <c r="A55" t="inlineStr">
        <is>
          <t>BM Certification</t>
        </is>
      </c>
      <c r="B55" t="inlineStr">
        <is>
          <t>Spain</t>
        </is>
      </c>
      <c r="C55" t="n">
        <v>1</v>
      </c>
    </row>
    <row r="56">
      <c r="A56" t="inlineStr">
        <is>
          <t>BM Certification</t>
        </is>
      </c>
      <c r="B56" t="inlineStr"/>
      <c r="C56" t="n">
        <v>0</v>
      </c>
    </row>
    <row r="57">
      <c r="A57" t="inlineStr">
        <is>
          <t>BM Certification</t>
        </is>
      </c>
      <c r="B57" t="inlineStr"/>
      <c r="C57" t="n">
        <v>0</v>
      </c>
    </row>
    <row r="58">
      <c r="A58" t="inlineStr">
        <is>
          <t>BM Certification</t>
        </is>
      </c>
      <c r="B58" t="inlineStr"/>
      <c r="C58" t="n">
        <v>0</v>
      </c>
    </row>
    <row r="59">
      <c r="A59" t="inlineStr">
        <is>
          <t>BM Certification</t>
        </is>
      </c>
      <c r="B59" t="inlineStr"/>
      <c r="C59" t="n">
        <v>0</v>
      </c>
    </row>
    <row r="60">
      <c r="A60" t="inlineStr">
        <is>
          <t>BM Certification</t>
        </is>
      </c>
      <c r="B60" t="inlineStr"/>
      <c r="C60" t="n">
        <v>0</v>
      </c>
    </row>
    <row r="61">
      <c r="A61" t="inlineStr">
        <is>
          <t>BM Certification</t>
        </is>
      </c>
      <c r="B61" t="inlineStr"/>
      <c r="C61" t="n">
        <v>0</v>
      </c>
    </row>
    <row r="62">
      <c r="A62" t="inlineStr">
        <is>
          <t>PT Intertek Utama Services</t>
        </is>
      </c>
      <c r="B62" t="inlineStr">
        <is>
          <t>Vietnam</t>
        </is>
      </c>
      <c r="C62" t="n">
        <v>6</v>
      </c>
    </row>
    <row r="63">
      <c r="A63" t="inlineStr">
        <is>
          <t>PT Intertek Utama Services</t>
        </is>
      </c>
      <c r="B63" t="inlineStr">
        <is>
          <t>Indonesia</t>
        </is>
      </c>
      <c r="C63" t="n">
        <v>2</v>
      </c>
    </row>
    <row r="64">
      <c r="A64" t="inlineStr">
        <is>
          <t>PT Intertek Utama Services</t>
        </is>
      </c>
      <c r="B64" t="inlineStr">
        <is>
          <t>Thailand</t>
        </is>
      </c>
      <c r="C64" t="n">
        <v>1</v>
      </c>
    </row>
    <row r="65">
      <c r="A65" t="inlineStr">
        <is>
          <t>PT Intertek Utama Services</t>
        </is>
      </c>
      <c r="B65" t="inlineStr">
        <is>
          <t>Singapore</t>
        </is>
      </c>
      <c r="C65" t="n">
        <v>1</v>
      </c>
    </row>
    <row r="66">
      <c r="A66" t="inlineStr">
        <is>
          <t>PT Intertek Utama Services</t>
        </is>
      </c>
      <c r="B66" t="inlineStr"/>
      <c r="C66" t="n">
        <v>0</v>
      </c>
    </row>
    <row r="67">
      <c r="A67" t="inlineStr">
        <is>
          <t>PT Intertek Utama Services</t>
        </is>
      </c>
      <c r="B67" t="inlineStr"/>
      <c r="C67" t="n">
        <v>0</v>
      </c>
    </row>
    <row r="68">
      <c r="A68" t="inlineStr">
        <is>
          <t>PT Intertek Utama Services</t>
        </is>
      </c>
      <c r="B68" t="inlineStr"/>
      <c r="C68" t="n">
        <v>0</v>
      </c>
    </row>
    <row r="69">
      <c r="A69" t="inlineStr">
        <is>
          <t>PT Intertek Utama Services</t>
        </is>
      </c>
      <c r="B69" t="inlineStr"/>
      <c r="C69" t="n">
        <v>0</v>
      </c>
    </row>
    <row r="70">
      <c r="A70" t="inlineStr">
        <is>
          <t>PT Intertek Utama Services</t>
        </is>
      </c>
      <c r="B70" t="inlineStr"/>
      <c r="C70" t="n">
        <v>0</v>
      </c>
    </row>
    <row r="71">
      <c r="A71" t="inlineStr">
        <is>
          <t>PT Intertek Utama Services</t>
        </is>
      </c>
      <c r="B71" t="inlineStr"/>
      <c r="C71" t="n">
        <v>0</v>
      </c>
    </row>
    <row r="72">
      <c r="A72" t="inlineStr">
        <is>
          <t>PT Sucofindo</t>
        </is>
      </c>
      <c r="B72" t="inlineStr">
        <is>
          <t>Indonesia</t>
        </is>
      </c>
      <c r="C72" t="n">
        <v>8</v>
      </c>
    </row>
    <row r="73">
      <c r="A73" t="inlineStr">
        <is>
          <t>PT Sucofindo</t>
        </is>
      </c>
      <c r="B73" t="inlineStr"/>
      <c r="C73" t="n">
        <v>0</v>
      </c>
    </row>
    <row r="74">
      <c r="A74" t="inlineStr">
        <is>
          <t>PT Sucofindo</t>
        </is>
      </c>
      <c r="B74" t="inlineStr"/>
      <c r="C74" t="n">
        <v>0</v>
      </c>
    </row>
    <row r="75">
      <c r="A75" t="inlineStr">
        <is>
          <t>PT Sucofindo</t>
        </is>
      </c>
      <c r="B75" t="inlineStr"/>
      <c r="C75" t="n">
        <v>0</v>
      </c>
    </row>
    <row r="76">
      <c r="A76" t="inlineStr">
        <is>
          <t>PT Sucofindo</t>
        </is>
      </c>
      <c r="B76" t="inlineStr"/>
      <c r="C76" t="n">
        <v>0</v>
      </c>
    </row>
    <row r="77">
      <c r="A77" t="inlineStr">
        <is>
          <t>PT Sucofindo</t>
        </is>
      </c>
      <c r="B77" t="inlineStr"/>
      <c r="C77" t="n">
        <v>0</v>
      </c>
    </row>
    <row r="78">
      <c r="A78" t="inlineStr">
        <is>
          <t>PT Sucofindo</t>
        </is>
      </c>
      <c r="B78" t="inlineStr"/>
      <c r="C78" t="n">
        <v>0</v>
      </c>
    </row>
    <row r="79">
      <c r="A79" t="inlineStr">
        <is>
          <t>PT Sucofindo</t>
        </is>
      </c>
      <c r="B79" t="inlineStr"/>
      <c r="C79" t="n">
        <v>0</v>
      </c>
    </row>
    <row r="80">
      <c r="A80" t="inlineStr">
        <is>
          <t>PT Sucofindo</t>
        </is>
      </c>
      <c r="B80" t="inlineStr"/>
      <c r="C80" t="n">
        <v>0</v>
      </c>
    </row>
    <row r="81">
      <c r="A81" t="inlineStr">
        <is>
          <t>PT Sucofindo</t>
        </is>
      </c>
      <c r="B81" t="inlineStr"/>
      <c r="C81" t="n">
        <v>0</v>
      </c>
    </row>
    <row r="82">
      <c r="A82" t="inlineStr">
        <is>
          <t>DoubleHelix</t>
        </is>
      </c>
      <c r="B82" t="inlineStr">
        <is>
          <t>Indonesia</t>
        </is>
      </c>
      <c r="C82" t="n">
        <v>2</v>
      </c>
    </row>
    <row r="83">
      <c r="A83" t="inlineStr">
        <is>
          <t>DoubleHelix</t>
        </is>
      </c>
      <c r="B83" t="inlineStr">
        <is>
          <t>Singapore</t>
        </is>
      </c>
      <c r="C83" t="n">
        <v>1</v>
      </c>
    </row>
    <row r="84">
      <c r="A84" t="inlineStr">
        <is>
          <t>DoubleHelix</t>
        </is>
      </c>
      <c r="B84" t="inlineStr"/>
      <c r="C84" t="n">
        <v>0</v>
      </c>
    </row>
    <row r="85">
      <c r="A85" t="inlineStr">
        <is>
          <t>DoubleHelix</t>
        </is>
      </c>
      <c r="B85" t="inlineStr"/>
      <c r="C85" t="n">
        <v>0</v>
      </c>
    </row>
    <row r="86">
      <c r="A86" t="inlineStr">
        <is>
          <t>DoubleHelix</t>
        </is>
      </c>
      <c r="B86" t="inlineStr"/>
      <c r="C86" t="n">
        <v>0</v>
      </c>
    </row>
    <row r="87">
      <c r="A87" t="inlineStr">
        <is>
          <t>DoubleHelix</t>
        </is>
      </c>
      <c r="B87" t="inlineStr"/>
      <c r="C87" t="n">
        <v>0</v>
      </c>
    </row>
    <row r="88">
      <c r="A88" t="inlineStr">
        <is>
          <t>DoubleHelix</t>
        </is>
      </c>
      <c r="B88" t="inlineStr"/>
      <c r="C88" t="n">
        <v>0</v>
      </c>
    </row>
    <row r="89">
      <c r="A89" t="inlineStr">
        <is>
          <t>DoubleHelix</t>
        </is>
      </c>
      <c r="B89" t="inlineStr"/>
      <c r="C89" t="n">
        <v>0</v>
      </c>
    </row>
    <row r="90">
      <c r="A90" t="inlineStr">
        <is>
          <t>DoubleHelix</t>
        </is>
      </c>
      <c r="B90" t="inlineStr"/>
      <c r="C90" t="n">
        <v>0</v>
      </c>
    </row>
    <row r="91">
      <c r="A91" t="inlineStr">
        <is>
          <t>DoubleHelix</t>
        </is>
      </c>
      <c r="B91" t="inlineStr"/>
      <c r="C91" t="n">
        <v>0</v>
      </c>
    </row>
    <row r="92">
      <c r="A92" t="inlineStr">
        <is>
          <t>PT Global Relasitama Indonesia</t>
        </is>
      </c>
      <c r="B92" t="inlineStr">
        <is>
          <t>Indonesia</t>
        </is>
      </c>
      <c r="C92" t="n">
        <v>1</v>
      </c>
    </row>
    <row r="93">
      <c r="A93" t="inlineStr">
        <is>
          <t>PT Global Relasitama Indonesia</t>
        </is>
      </c>
      <c r="B93" t="inlineStr"/>
      <c r="C93" t="n">
        <v>0</v>
      </c>
    </row>
    <row r="94">
      <c r="A94" t="inlineStr">
        <is>
          <t>PT Global Relasitama Indonesia</t>
        </is>
      </c>
      <c r="B94" t="inlineStr"/>
      <c r="C94" t="n">
        <v>0</v>
      </c>
    </row>
    <row r="95">
      <c r="A95" t="inlineStr">
        <is>
          <t>PT Global Relasitama Indonesia</t>
        </is>
      </c>
      <c r="B95" t="inlineStr"/>
      <c r="C95" t="n">
        <v>0</v>
      </c>
    </row>
    <row r="96">
      <c r="A96" t="inlineStr">
        <is>
          <t>PT Global Relasitama Indonesia</t>
        </is>
      </c>
      <c r="B96" t="inlineStr"/>
      <c r="C96" t="n">
        <v>0</v>
      </c>
    </row>
    <row r="97">
      <c r="A97" t="inlineStr">
        <is>
          <t>PT Global Relasitama Indonesia</t>
        </is>
      </c>
      <c r="B97" t="inlineStr"/>
      <c r="C97" t="n">
        <v>0</v>
      </c>
    </row>
    <row r="98">
      <c r="A98" t="inlineStr">
        <is>
          <t>PT Global Relasitama Indonesia</t>
        </is>
      </c>
      <c r="B98" t="inlineStr"/>
      <c r="C98" t="n">
        <v>0</v>
      </c>
    </row>
    <row r="99">
      <c r="A99" t="inlineStr">
        <is>
          <t>PT Global Relasitama Indonesia</t>
        </is>
      </c>
      <c r="B99" t="inlineStr"/>
      <c r="C99" t="n">
        <v>0</v>
      </c>
    </row>
    <row r="100">
      <c r="A100" t="inlineStr">
        <is>
          <t>PT Global Relasitama Indonesia</t>
        </is>
      </c>
      <c r="B100" t="inlineStr"/>
      <c r="C100" t="n">
        <v>0</v>
      </c>
    </row>
    <row r="101">
      <c r="A101" t="inlineStr">
        <is>
          <t>PT Global Relasitama Indonesia</t>
        </is>
      </c>
      <c r="B101" t="inlineStr"/>
      <c r="C101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Indonesia</t>
        </is>
      </c>
    </row>
    <row r="2">
      <c r="A2" t="inlineStr">
        <is>
          <t>Japan</t>
        </is>
      </c>
    </row>
    <row r="3">
      <c r="A3" t="inlineStr">
        <is>
          <t>Malaysia</t>
        </is>
      </c>
    </row>
    <row r="4">
      <c r="A4" t="inlineStr">
        <is>
          <t>Singapore</t>
        </is>
      </c>
    </row>
    <row r="5">
      <c r="A5" t="inlineStr">
        <is>
          <t>Thailand</t>
        </is>
      </c>
    </row>
    <row r="6">
      <c r="A6" t="inlineStr">
        <is>
          <t>Vietnam</t>
        </is>
      </c>
    </row>
    <row r="7">
      <c r="A7" t="inlineStr">
        <is>
          <t>China</t>
        </is>
      </c>
    </row>
    <row r="8">
      <c r="A8" t="inlineStr">
        <is>
          <t>Netherlands</t>
        </is>
      </c>
    </row>
    <row r="9">
      <c r="A9" t="inlineStr">
        <is>
          <t>Hong Kong</t>
        </is>
      </c>
    </row>
    <row r="10">
      <c r="A10" t="inlineStr">
        <is>
          <t>South Korea</t>
        </is>
      </c>
    </row>
    <row r="11">
      <c r="A11" t="inlineStr">
        <is>
          <t>Portugal</t>
        </is>
      </c>
    </row>
    <row r="12">
      <c r="A12" t="inlineStr">
        <is>
          <t>Canada</t>
        </is>
      </c>
    </row>
    <row r="13">
      <c r="A13" t="inlineStr">
        <is>
          <t>United States</t>
        </is>
      </c>
    </row>
    <row r="14">
      <c r="A14" t="inlineStr">
        <is>
          <t>Germany</t>
        </is>
      </c>
    </row>
    <row r="15">
      <c r="A15" t="inlineStr">
        <is>
          <t>Denmark</t>
        </is>
      </c>
    </row>
    <row r="16">
      <c r="A16" t="inlineStr">
        <is>
          <t>Spain</t>
        </is>
      </c>
    </row>
    <row r="17">
      <c r="A17" t="inlineStr">
        <is>
          <t>United Kingdom</t>
        </is>
      </c>
    </row>
    <row r="18">
      <c r="A18" t="inlineStr">
        <is>
          <t>India</t>
        </is>
      </c>
    </row>
    <row r="19">
      <c r="A19" t="inlineStr">
        <is>
          <t>Egypt</t>
        </is>
      </c>
    </row>
    <row r="20">
      <c r="A20" t="inlineStr">
        <is>
          <t>Switzerland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Control Union</t>
        </is>
      </c>
    </row>
    <row r="2">
      <c r="A2" t="inlineStr">
        <is>
          <t>PT Carsurin Certiva International</t>
        </is>
      </c>
    </row>
    <row r="3">
      <c r="A3" t="inlineStr">
        <is>
          <t>PT SBC Asia Sertifikasi</t>
        </is>
      </c>
    </row>
    <row r="4">
      <c r="A4" t="inlineStr">
        <is>
          <t>Trans Certification &amp; Inspection SDN. BHD.</t>
        </is>
      </c>
    </row>
    <row r="5">
      <c r="A5" t="inlineStr">
        <is>
          <t>PT PCU Indonesia</t>
        </is>
      </c>
    </row>
    <row r="6">
      <c r="A6" t="inlineStr">
        <is>
          <t>BM Certification</t>
        </is>
      </c>
    </row>
    <row r="7">
      <c r="A7" t="inlineStr">
        <is>
          <t>PT Intertek Utama Services</t>
        </is>
      </c>
    </row>
    <row r="8">
      <c r="A8" t="inlineStr">
        <is>
          <t>PT Sucofindo</t>
        </is>
      </c>
    </row>
    <row r="9">
      <c r="A9" t="inlineStr">
        <is>
          <t>DoubleHelix</t>
        </is>
      </c>
    </row>
    <row r="10">
      <c r="A10" t="inlineStr">
        <is>
          <t>PT Global Relasitama Indonesia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 outlineLevelCol="0"/>
  <cols>
    <col width="30" customWidth="1" min="1" max="1"/>
    <col width="20" customWidth="1" min="2" max="2"/>
  </cols>
  <sheetData>
    <row r="1">
      <c r="A1" s="8" t="inlineStr">
        <is>
          <t>Country</t>
        </is>
      </c>
      <c r="B1" s="8" t="inlineStr">
        <is>
          <t>Active Certificates</t>
        </is>
      </c>
    </row>
    <row r="2">
      <c r="A2" s="11" t="inlineStr">
        <is>
          <t>Indonesia</t>
        </is>
      </c>
      <c r="B2" s="11" t="n">
        <v>121</v>
      </c>
    </row>
    <row r="3">
      <c r="A3" t="inlineStr">
        <is>
          <t>Japan</t>
        </is>
      </c>
      <c r="B3" t="n">
        <v>103</v>
      </c>
    </row>
    <row r="4">
      <c r="A4" s="11" t="inlineStr">
        <is>
          <t>Malaysia</t>
        </is>
      </c>
      <c r="B4" s="11" t="n">
        <v>75</v>
      </c>
    </row>
    <row r="5">
      <c r="A5" t="inlineStr">
        <is>
          <t>Singapore</t>
        </is>
      </c>
      <c r="B5" t="n">
        <v>23</v>
      </c>
    </row>
    <row r="6">
      <c r="A6" s="11" t="inlineStr">
        <is>
          <t>Thailand</t>
        </is>
      </c>
      <c r="B6" s="11" t="n">
        <v>19</v>
      </c>
    </row>
    <row r="7">
      <c r="A7" t="inlineStr">
        <is>
          <t>Vietnam</t>
        </is>
      </c>
      <c r="B7" t="n">
        <v>16</v>
      </c>
    </row>
    <row r="8">
      <c r="A8" s="11" t="inlineStr">
        <is>
          <t>China</t>
        </is>
      </c>
      <c r="B8" s="11" t="n">
        <v>5</v>
      </c>
    </row>
    <row r="9">
      <c r="A9" t="inlineStr">
        <is>
          <t>Netherlands</t>
        </is>
      </c>
      <c r="B9" t="n">
        <v>4</v>
      </c>
    </row>
    <row r="10">
      <c r="A10" s="11" t="inlineStr">
        <is>
          <t>Hong Kong</t>
        </is>
      </c>
      <c r="B10" s="11" t="n">
        <v>3</v>
      </c>
    </row>
    <row r="11">
      <c r="A11" t="inlineStr">
        <is>
          <t>South Korea</t>
        </is>
      </c>
      <c r="B11" t="n">
        <v>3</v>
      </c>
    </row>
    <row r="12">
      <c r="A12" s="11" t="inlineStr">
        <is>
          <t>Portugal</t>
        </is>
      </c>
      <c r="B12" s="11" t="n">
        <v>3</v>
      </c>
    </row>
    <row r="13">
      <c r="A13" t="inlineStr">
        <is>
          <t>Canada</t>
        </is>
      </c>
      <c r="B13" t="n">
        <v>3</v>
      </c>
    </row>
    <row r="14">
      <c r="A14" s="11" t="inlineStr">
        <is>
          <t>United States</t>
        </is>
      </c>
      <c r="B14" s="11" t="n">
        <v>2</v>
      </c>
    </row>
    <row r="15">
      <c r="A15" t="inlineStr">
        <is>
          <t>Germany</t>
        </is>
      </c>
      <c r="B15" t="n">
        <v>2</v>
      </c>
    </row>
    <row r="16">
      <c r="A16" s="11" t="inlineStr">
        <is>
          <t>Denmark</t>
        </is>
      </c>
      <c r="B16" s="11" t="n">
        <v>1</v>
      </c>
    </row>
    <row r="17">
      <c r="A17" t="inlineStr">
        <is>
          <t>Spain</t>
        </is>
      </c>
      <c r="B17" t="n">
        <v>1</v>
      </c>
    </row>
    <row r="18">
      <c r="A18" s="11" t="inlineStr">
        <is>
          <t>United Kingdom</t>
        </is>
      </c>
      <c r="B18" s="11" t="n">
        <v>1</v>
      </c>
    </row>
    <row r="19">
      <c r="A19" t="inlineStr">
        <is>
          <t>India</t>
        </is>
      </c>
      <c r="B19" t="n">
        <v>1</v>
      </c>
    </row>
    <row r="20">
      <c r="A20" s="11" t="inlineStr">
        <is>
          <t>Egypt</t>
        </is>
      </c>
      <c r="B20" s="11" t="n">
        <v>1</v>
      </c>
    </row>
    <row r="21">
      <c r="A21" t="inlineStr">
        <is>
          <t>Switzerland</t>
        </is>
      </c>
      <c r="B21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389"/>
  <sheetViews>
    <sheetView workbookViewId="0">
      <selection activeCell="A1" sqref="A1"/>
    </sheetView>
  </sheetViews>
  <sheetFormatPr baseColWidth="8" defaultRowHeight="15" outlineLevelCol="0"/>
  <cols>
    <col width="22" customWidth="1" min="1" max="1"/>
    <col width="42" customWidth="1" min="2" max="2"/>
    <col width="14" customWidth="1" min="3" max="3"/>
    <col width="22" customWidth="1" min="4" max="4"/>
    <col width="12" customWidth="1" min="5" max="5"/>
    <col width="18" customWidth="1" min="6" max="6"/>
    <col width="16" customWidth="1" min="7" max="7"/>
    <col width="12" customWidth="1" min="8" max="8"/>
    <col width="12" customWidth="1" min="9" max="9"/>
    <col width="26" customWidth="1" min="10" max="10"/>
    <col width="12" customWidth="1" min="11" max="11"/>
  </cols>
  <sheetData>
    <row r="1">
      <c r="A1" s="8" t="inlineStr">
        <is>
          <t>USI</t>
        </is>
      </c>
      <c r="B1" s="8" t="inlineStr">
        <is>
          <t>Participant name</t>
        </is>
      </c>
      <c r="C1" s="8" t="inlineStr">
        <is>
          <t>Country</t>
        </is>
      </c>
      <c r="D1" s="8" t="inlineStr">
        <is>
          <t>Participant role</t>
        </is>
      </c>
      <c r="E1" s="8" t="inlineStr">
        <is>
          <t>Regulation</t>
        </is>
      </c>
      <c r="F1" s="8" t="inlineStr">
        <is>
          <t>Standards</t>
        </is>
      </c>
      <c r="G1" s="8" t="inlineStr">
        <is>
          <t>Type of biomass</t>
        </is>
      </c>
      <c r="H1" s="8" t="inlineStr">
        <is>
          <t>Valid from</t>
        </is>
      </c>
      <c r="I1" s="8" t="inlineStr">
        <is>
          <t>Valid till</t>
        </is>
      </c>
      <c r="J1" s="8" t="inlineStr">
        <is>
          <t>CB</t>
        </is>
      </c>
      <c r="K1" s="8" t="inlineStr">
        <is>
          <t>Status</t>
        </is>
      </c>
    </row>
    <row r="2">
      <c r="A2" t="inlineStr">
        <is>
          <t>1884150058295754752</t>
        </is>
      </c>
      <c r="B2" t="inlineStr">
        <is>
          <t>AAA Oils and Fats Pte Ltd</t>
        </is>
      </c>
      <c r="C2" t="inlineStr">
        <is>
          <t>Singapore</t>
        </is>
      </c>
      <c r="D2" t="inlineStr">
        <is>
          <t>Trader</t>
        </is>
      </c>
      <c r="E2" t="inlineStr">
        <is>
          <t>FIT/FIP</t>
        </is>
      </c>
      <c r="F2" t="inlineStr">
        <is>
          <t>GGLS1, GGLS4</t>
        </is>
      </c>
      <c r="G2" t="inlineStr">
        <is>
          <t>AR</t>
        </is>
      </c>
      <c r="H2" t="inlineStr">
        <is>
          <t>2022-11-22</t>
        </is>
      </c>
      <c r="I2" t="inlineStr">
        <is>
          <t>2027-11-21</t>
        </is>
      </c>
      <c r="J2" t="inlineStr">
        <is>
          <t>Control Union</t>
        </is>
      </c>
      <c r="K2" t="inlineStr">
        <is>
          <t>Valid</t>
        </is>
      </c>
    </row>
    <row r="3">
      <c r="A3" t="inlineStr">
        <is>
          <t>1896474269014032384</t>
        </is>
      </c>
      <c r="B3" t="inlineStr">
        <is>
          <t>AASTAR TRADING PTE. LTD.</t>
        </is>
      </c>
      <c r="C3" t="inlineStr">
        <is>
          <t>Singapore</t>
        </is>
      </c>
      <c r="D3" t="inlineStr">
        <is>
          <t>Trader</t>
        </is>
      </c>
      <c r="E3" t="inlineStr">
        <is>
          <t>FIT/FIP</t>
        </is>
      </c>
      <c r="F3" t="inlineStr">
        <is>
          <t>GGLS1, GGLS4</t>
        </is>
      </c>
      <c r="G3" t="inlineStr">
        <is>
          <t>AR, Cat 5</t>
        </is>
      </c>
      <c r="H3" t="inlineStr">
        <is>
          <t>2024-01-22</t>
        </is>
      </c>
      <c r="I3" t="inlineStr">
        <is>
          <t>2029-01-21</t>
        </is>
      </c>
      <c r="J3" t="inlineStr">
        <is>
          <t>PT SBC Asia Sertifikasi</t>
        </is>
      </c>
      <c r="K3" t="inlineStr">
        <is>
          <t>Valid</t>
        </is>
      </c>
    </row>
    <row r="4">
      <c r="A4" t="inlineStr">
        <is>
          <t>1882880250430357504</t>
        </is>
      </c>
      <c r="B4" t="inlineStr">
        <is>
          <t>AC Renewable Resources Pte Ltd</t>
        </is>
      </c>
      <c r="C4" t="inlineStr">
        <is>
          <t>Singapore</t>
        </is>
      </c>
      <c r="D4" t="inlineStr">
        <is>
          <t>Trader</t>
        </is>
      </c>
      <c r="E4" t="inlineStr">
        <is>
          <t>FIT/FIP</t>
        </is>
      </c>
      <c r="F4" t="inlineStr">
        <is>
          <t>GGLS1, GGLS4</t>
        </is>
      </c>
      <c r="G4" t="inlineStr">
        <is>
          <t>AR</t>
        </is>
      </c>
      <c r="H4" t="inlineStr">
        <is>
          <t>2024-08-19</t>
        </is>
      </c>
      <c r="I4" t="inlineStr">
        <is>
          <t>2029-08-18</t>
        </is>
      </c>
      <c r="J4" t="inlineStr">
        <is>
          <t>Control Union</t>
        </is>
      </c>
      <c r="K4" t="inlineStr">
        <is>
          <t>Valid</t>
        </is>
      </c>
    </row>
    <row r="5">
      <c r="A5" t="inlineStr">
        <is>
          <t>1912754095853142016</t>
        </is>
      </c>
      <c r="B5" t="inlineStr">
        <is>
          <t>AGRO NATURE SOLUTION SDN BHD</t>
        </is>
      </c>
      <c r="C5" t="inlineStr">
        <is>
          <t>Malaysia</t>
        </is>
      </c>
      <c r="D5" t="inlineStr">
        <is>
          <t>Trader</t>
        </is>
      </c>
      <c r="E5" t="inlineStr">
        <is>
          <t>FIT/FIP</t>
        </is>
      </c>
      <c r="F5" t="inlineStr">
        <is>
          <t>GGLS1, GGLS4</t>
        </is>
      </c>
      <c r="G5" t="inlineStr">
        <is>
          <t>AR</t>
        </is>
      </c>
      <c r="H5" t="inlineStr">
        <is>
          <t>2025-01-09</t>
        </is>
      </c>
      <c r="I5" t="inlineStr">
        <is>
          <t>2030-01-08</t>
        </is>
      </c>
      <c r="J5" t="inlineStr">
        <is>
          <t>Control Union</t>
        </is>
      </c>
      <c r="K5" t="inlineStr">
        <is>
          <t>Valid</t>
        </is>
      </c>
    </row>
    <row r="6">
      <c r="A6" t="inlineStr">
        <is>
          <t>1912347768685330432</t>
        </is>
      </c>
      <c r="B6" t="inlineStr">
        <is>
          <t>ALPHA COMMODITIES CO., LTD</t>
        </is>
      </c>
      <c r="C6" t="inlineStr">
        <is>
          <t>Thailand</t>
        </is>
      </c>
      <c r="D6" t="inlineStr">
        <is>
          <t>First collector</t>
        </is>
      </c>
      <c r="E6" t="inlineStr">
        <is>
          <t>FIT/FIP</t>
        </is>
      </c>
      <c r="F6" t="inlineStr">
        <is>
          <t>GGLS1, GGLS4</t>
        </is>
      </c>
      <c r="G6" t="inlineStr">
        <is>
          <t>AR, Cat 5</t>
        </is>
      </c>
      <c r="H6" t="inlineStr">
        <is>
          <t>2024-12-27</t>
        </is>
      </c>
      <c r="I6" t="inlineStr">
        <is>
          <t>2029-12-26</t>
        </is>
      </c>
      <c r="J6" t="inlineStr">
        <is>
          <t>Control Union</t>
        </is>
      </c>
      <c r="K6" t="inlineStr">
        <is>
          <t>Valid</t>
        </is>
      </c>
    </row>
    <row r="7">
      <c r="A7" t="inlineStr">
        <is>
          <t>1873671395032956928</t>
        </is>
      </c>
      <c r="B7" t="inlineStr">
        <is>
          <t>ALPINE RENEWABLES AND EDIBLE OILS PTE LTD</t>
        </is>
      </c>
      <c r="C7" t="inlineStr">
        <is>
          <t>Singapore</t>
        </is>
      </c>
      <c r="D7" t="inlineStr">
        <is>
          <t>Trader</t>
        </is>
      </c>
      <c r="E7" t="inlineStr">
        <is>
          <t>FIT/FIP</t>
        </is>
      </c>
      <c r="F7" t="inlineStr">
        <is>
          <t>GGLS1, GGLS4</t>
        </is>
      </c>
      <c r="G7" t="inlineStr">
        <is>
          <t>AR, Cat 5</t>
        </is>
      </c>
      <c r="H7" t="inlineStr">
        <is>
          <t>2024-03-24</t>
        </is>
      </c>
      <c r="I7" t="inlineStr">
        <is>
          <t>2029-03-23</t>
        </is>
      </c>
      <c r="J7" t="inlineStr">
        <is>
          <t>BM Certification</t>
        </is>
      </c>
      <c r="K7" t="inlineStr">
        <is>
          <t>Valid</t>
        </is>
      </c>
    </row>
    <row r="8">
      <c r="A8" t="inlineStr">
        <is>
          <t>1882874724988485632</t>
        </is>
      </c>
      <c r="B8" t="inlineStr">
        <is>
          <t>ALWN DEVELOPMENTS SDN BHD</t>
        </is>
      </c>
      <c r="C8" t="inlineStr">
        <is>
          <t>Malaysia</t>
        </is>
      </c>
      <c r="D8" t="inlineStr">
        <is>
          <t>Trader</t>
        </is>
      </c>
      <c r="E8" t="inlineStr">
        <is>
          <t>FIT/FIP</t>
        </is>
      </c>
      <c r="F8" t="inlineStr">
        <is>
          <t>GGLS1, GGLS4</t>
        </is>
      </c>
      <c r="G8" t="inlineStr">
        <is>
          <t>AR</t>
        </is>
      </c>
      <c r="H8" t="inlineStr">
        <is>
          <t>2024-10-16</t>
        </is>
      </c>
      <c r="I8" t="inlineStr">
        <is>
          <t>2029-10-15</t>
        </is>
      </c>
      <c r="J8" t="inlineStr">
        <is>
          <t>Control Union</t>
        </is>
      </c>
      <c r="K8" t="inlineStr">
        <is>
          <t>Valid</t>
        </is>
      </c>
    </row>
    <row r="9">
      <c r="A9" t="inlineStr">
        <is>
          <t>1985935355412480000</t>
        </is>
      </c>
      <c r="B9" t="inlineStr">
        <is>
          <t>AN VIET PHAT ENERGY JOINT STOCK COMPANY</t>
        </is>
      </c>
      <c r="C9" t="inlineStr">
        <is>
          <t>Vietnam</t>
        </is>
      </c>
      <c r="D9" t="inlineStr">
        <is>
          <t>Trader</t>
        </is>
      </c>
      <c r="E9" t="inlineStr">
        <is>
          <t>FIT/FIP</t>
        </is>
      </c>
      <c r="F9" t="inlineStr">
        <is>
          <t>GGLS1, GGLS4</t>
        </is>
      </c>
      <c r="G9" t="inlineStr">
        <is>
          <t>WB</t>
        </is>
      </c>
      <c r="H9" t="inlineStr">
        <is>
          <t>2025-11-04</t>
        </is>
      </c>
      <c r="I9" t="inlineStr">
        <is>
          <t>2030-11-03</t>
        </is>
      </c>
      <c r="J9" t="inlineStr">
        <is>
          <t>PT Intertek Utama Services</t>
        </is>
      </c>
      <c r="K9" t="inlineStr">
        <is>
          <t>Valid</t>
        </is>
      </c>
    </row>
    <row r="10">
      <c r="A10" t="inlineStr">
        <is>
          <t>1985930780211150848</t>
        </is>
      </c>
      <c r="B10" t="inlineStr">
        <is>
          <t>AN VIET PHAT TAY SON ENERGY COMPANY LIMITED</t>
        </is>
      </c>
      <c r="C10" t="inlineStr">
        <is>
          <t>Vietnam</t>
        </is>
      </c>
      <c r="D10" t="inlineStr">
        <is>
          <t>Biomass producer, Trader</t>
        </is>
      </c>
      <c r="E10" t="inlineStr">
        <is>
          <t>FIT/FIP</t>
        </is>
      </c>
      <c r="F10" t="inlineStr">
        <is>
          <t>GGLS1, GGLS4</t>
        </is>
      </c>
      <c r="G10" t="inlineStr">
        <is>
          <t>WB</t>
        </is>
      </c>
      <c r="H10" t="inlineStr">
        <is>
          <t>2025-11-03</t>
        </is>
      </c>
      <c r="I10" t="inlineStr">
        <is>
          <t>2030-11-02</t>
        </is>
      </c>
      <c r="J10" t="inlineStr">
        <is>
          <t>PT Intertek Utama Services</t>
        </is>
      </c>
      <c r="K10" t="inlineStr">
        <is>
          <t>Valid</t>
        </is>
      </c>
    </row>
    <row r="11">
      <c r="A11" t="inlineStr">
        <is>
          <t>1883270898329321472</t>
        </is>
      </c>
      <c r="B11" t="inlineStr">
        <is>
          <t>ASIA BIOMASS PUBLIC COMPANY LIMITED</t>
        </is>
      </c>
      <c r="C11" t="inlineStr">
        <is>
          <t>Thailand</t>
        </is>
      </c>
      <c r="D11" t="inlineStr">
        <is>
          <t>First collector</t>
        </is>
      </c>
      <c r="E11" t="inlineStr">
        <is>
          <t>FIT/FIP</t>
        </is>
      </c>
      <c r="F11" t="inlineStr">
        <is>
          <t>GGLS1, GGLS4</t>
        </is>
      </c>
      <c r="G11" t="inlineStr">
        <is>
          <t>AR</t>
        </is>
      </c>
      <c r="H11" t="inlineStr">
        <is>
          <t>2023-06-14</t>
        </is>
      </c>
      <c r="I11" t="inlineStr">
        <is>
          <t>2028-06-13</t>
        </is>
      </c>
      <c r="J11" t="inlineStr">
        <is>
          <t>Control Union</t>
        </is>
      </c>
      <c r="K11" t="inlineStr">
        <is>
          <t>Valid</t>
        </is>
      </c>
    </row>
    <row r="12">
      <c r="A12" t="inlineStr">
        <is>
          <t>1884195002133774336</t>
        </is>
      </c>
      <c r="B12" t="inlineStr">
        <is>
          <t>Air Water Onahama Biomass Electric Power Co., Ltd.</t>
        </is>
      </c>
      <c r="C12" t="inlineStr">
        <is>
          <t>Japan</t>
        </is>
      </c>
      <c r="D12" t="inlineStr">
        <is>
          <t>Power company</t>
        </is>
      </c>
      <c r="E12" t="inlineStr">
        <is>
          <t>FIT/FIP</t>
        </is>
      </c>
      <c r="F12" t="inlineStr">
        <is>
          <t>GGLS1, GGLS4, GGLS6</t>
        </is>
      </c>
      <c r="G12" t="inlineStr">
        <is>
          <t>AR</t>
        </is>
      </c>
      <c r="H12" t="inlineStr">
        <is>
          <t>2022-04-30</t>
        </is>
      </c>
      <c r="I12" t="inlineStr">
        <is>
          <t>2027-04-29</t>
        </is>
      </c>
      <c r="J12" t="inlineStr">
        <is>
          <t>Control Union</t>
        </is>
      </c>
      <c r="K12" t="inlineStr">
        <is>
          <t>Valid</t>
        </is>
      </c>
    </row>
    <row r="13">
      <c r="A13" t="inlineStr">
        <is>
          <t>1944945971800571904</t>
        </is>
      </c>
      <c r="B13" t="inlineStr">
        <is>
          <t>An Viet Phat Ha Tinh Energy Company Limited</t>
        </is>
      </c>
      <c r="C13" t="inlineStr">
        <is>
          <t>Vietnam</t>
        </is>
      </c>
      <c r="D13" t="inlineStr">
        <is>
          <t>Biomass producer, Trader</t>
        </is>
      </c>
      <c r="E13" t="inlineStr">
        <is>
          <t>FIT/FIP</t>
        </is>
      </c>
      <c r="F13" t="inlineStr">
        <is>
          <t>GGLS1, GGLS4</t>
        </is>
      </c>
      <c r="G13" t="inlineStr">
        <is>
          <t>WB</t>
        </is>
      </c>
      <c r="H13" t="inlineStr">
        <is>
          <t>2025-06-13</t>
        </is>
      </c>
      <c r="I13" t="inlineStr">
        <is>
          <t>2030-06-12</t>
        </is>
      </c>
      <c r="J13" t="inlineStr">
        <is>
          <t>PT Intertek Utama Services</t>
        </is>
      </c>
      <c r="K13" t="inlineStr">
        <is>
          <t>Valid</t>
        </is>
      </c>
    </row>
    <row r="14">
      <c r="A14" t="inlineStr">
        <is>
          <t>1942756509070917632</t>
        </is>
      </c>
      <c r="B14" t="inlineStr">
        <is>
          <t>Asia LNG Hub Co., Ltd.</t>
        </is>
      </c>
      <c r="C14" t="inlineStr">
        <is>
          <t>Japan</t>
        </is>
      </c>
      <c r="D14" t="inlineStr">
        <is>
          <t>Trader</t>
        </is>
      </c>
      <c r="E14" t="inlineStr">
        <is>
          <t>FIT/FIP</t>
        </is>
      </c>
      <c r="F14" t="inlineStr">
        <is>
          <t>GGLS1, GGLS4</t>
        </is>
      </c>
      <c r="G14" t="inlineStr">
        <is>
          <t>AR, WB</t>
        </is>
      </c>
      <c r="H14" t="inlineStr">
        <is>
          <t>2025-07-07</t>
        </is>
      </c>
      <c r="I14" t="inlineStr">
        <is>
          <t>2030-07-06</t>
        </is>
      </c>
      <c r="J14" t="inlineStr">
        <is>
          <t>Control Union</t>
        </is>
      </c>
      <c r="K14" t="inlineStr">
        <is>
          <t>Valid</t>
        </is>
      </c>
    </row>
    <row r="15">
      <c r="A15" t="inlineStr">
        <is>
          <t>1883812986125025280</t>
        </is>
      </c>
      <c r="B15" t="inlineStr">
        <is>
          <t>Asia Pac Biomass Trading Limited</t>
        </is>
      </c>
      <c r="C15" t="inlineStr">
        <is>
          <t>Hong Kong</t>
        </is>
      </c>
      <c r="D15" t="inlineStr">
        <is>
          <t>Trader</t>
        </is>
      </c>
      <c r="E15" t="inlineStr">
        <is>
          <t>FIT/FIP</t>
        </is>
      </c>
      <c r="F15" t="inlineStr">
        <is>
          <t>GGLS1, GGLS4</t>
        </is>
      </c>
      <c r="G15" t="inlineStr">
        <is>
          <t>AR, Cat 5, WB</t>
        </is>
      </c>
      <c r="H15" t="inlineStr">
        <is>
          <t>2026-07-09</t>
        </is>
      </c>
      <c r="I15" t="inlineStr">
        <is>
          <t>2031-07-08</t>
        </is>
      </c>
      <c r="J15" t="inlineStr">
        <is>
          <t>Control Union</t>
        </is>
      </c>
      <c r="K15" t="inlineStr">
        <is>
          <t>Valid</t>
        </is>
      </c>
    </row>
    <row r="16">
      <c r="A16" t="inlineStr">
        <is>
          <t>1883812986125025280</t>
        </is>
      </c>
      <c r="B16" t="inlineStr">
        <is>
          <t>Asia Pac Biomass Trading Limited</t>
        </is>
      </c>
      <c r="C16" t="inlineStr">
        <is>
          <t>Hong Kong</t>
        </is>
      </c>
      <c r="D16" t="inlineStr">
        <is>
          <t>Trader</t>
        </is>
      </c>
      <c r="E16" t="inlineStr">
        <is>
          <t>FIT/FIP</t>
        </is>
      </c>
      <c r="F16" t="inlineStr">
        <is>
          <t>GGLS1, GGLS4</t>
        </is>
      </c>
      <c r="G16" t="inlineStr">
        <is>
          <t>AR</t>
        </is>
      </c>
      <c r="H16" t="inlineStr">
        <is>
          <t>2021-07-09</t>
        </is>
      </c>
      <c r="I16" t="inlineStr">
        <is>
          <t>2026-07-08</t>
        </is>
      </c>
      <c r="J16" t="inlineStr">
        <is>
          <t>Control Union</t>
        </is>
      </c>
      <c r="K16" t="inlineStr">
        <is>
          <t>Expired</t>
        </is>
      </c>
    </row>
    <row r="17">
      <c r="A17" t="inlineStr">
        <is>
          <t>1883268955737423872</t>
        </is>
      </c>
      <c r="B17" t="inlineStr">
        <is>
          <t>BE GREEN RESOURCES SDN BHD</t>
        </is>
      </c>
      <c r="C17" t="inlineStr">
        <is>
          <t>Malaysia</t>
        </is>
      </c>
      <c r="D17" t="inlineStr">
        <is>
          <t>Biomass producer</t>
        </is>
      </c>
      <c r="E17" t="inlineStr">
        <is>
          <t>FIT/FIP</t>
        </is>
      </c>
      <c r="F17" t="inlineStr">
        <is>
          <t>GGLS1, GGLS4</t>
        </is>
      </c>
      <c r="G17" t="inlineStr">
        <is>
          <t>AR, Cat 4, Cat 5, WB</t>
        </is>
      </c>
      <c r="H17" t="inlineStr">
        <is>
          <t>2023-07-10</t>
        </is>
      </c>
      <c r="I17" t="inlineStr">
        <is>
          <t>2028-07-09</t>
        </is>
      </c>
      <c r="J17" t="inlineStr">
        <is>
          <t>Control Union</t>
        </is>
      </c>
      <c r="K17" t="inlineStr">
        <is>
          <t>Valid</t>
        </is>
      </c>
    </row>
    <row r="18">
      <c r="A18" t="inlineStr">
        <is>
          <t>1873694737370710016</t>
        </is>
      </c>
      <c r="B18" t="inlineStr">
        <is>
          <t>BERKANA POWER COMPANY LIMITED</t>
        </is>
      </c>
      <c r="C18" t="inlineStr">
        <is>
          <t>Thailand</t>
        </is>
      </c>
      <c r="D18" t="inlineStr">
        <is>
          <t>First collector</t>
        </is>
      </c>
      <c r="E18" t="inlineStr">
        <is>
          <t>FIT/FIP</t>
        </is>
      </c>
      <c r="F18" t="inlineStr">
        <is>
          <t>GGLS1, GGLS4</t>
        </is>
      </c>
      <c r="G18" t="inlineStr">
        <is>
          <t>AR, Cat 5</t>
        </is>
      </c>
      <c r="H18" t="inlineStr">
        <is>
          <t>2024-04-27</t>
        </is>
      </c>
      <c r="I18" t="inlineStr">
        <is>
          <t>2029-04-26</t>
        </is>
      </c>
      <c r="J18" t="inlineStr">
        <is>
          <t>PT Carsurin Certiva International</t>
        </is>
      </c>
      <c r="K18" t="inlineStr">
        <is>
          <t>Valid</t>
        </is>
      </c>
    </row>
    <row r="19">
      <c r="A19" t="inlineStr">
        <is>
          <t>1882876487455997952</t>
        </is>
      </c>
      <c r="B19" t="inlineStr">
        <is>
          <t>BESGRADE PLYWOOD SDN BHD</t>
        </is>
      </c>
      <c r="C19" t="inlineStr">
        <is>
          <t>Malaysia</t>
        </is>
      </c>
      <c r="D19" t="inlineStr">
        <is>
          <t>Biomass producer</t>
        </is>
      </c>
      <c r="E19" t="inlineStr">
        <is>
          <t>FIT/FIP</t>
        </is>
      </c>
      <c r="F19" t="inlineStr">
        <is>
          <t>GGLS1, GGLS4</t>
        </is>
      </c>
      <c r="G19" t="inlineStr">
        <is>
          <t>AR, Cat 5</t>
        </is>
      </c>
      <c r="H19" t="inlineStr">
        <is>
          <t>2024-04-03</t>
        </is>
      </c>
      <c r="I19" t="inlineStr">
        <is>
          <t>2029-04-02</t>
        </is>
      </c>
      <c r="J19" t="inlineStr">
        <is>
          <t>Control Union</t>
        </is>
      </c>
      <c r="K19" t="inlineStr">
        <is>
          <t>Revoked</t>
        </is>
      </c>
    </row>
    <row r="20">
      <c r="A20" t="inlineStr">
        <is>
          <t>1884142399622479872</t>
        </is>
      </c>
      <c r="B20" t="inlineStr">
        <is>
          <t>BIO ENECO SDN BHD</t>
        </is>
      </c>
      <c r="C20" t="inlineStr">
        <is>
          <t>Malaysia</t>
        </is>
      </c>
      <c r="D20" t="inlineStr">
        <is>
          <t>First collector</t>
        </is>
      </c>
      <c r="E20" t="inlineStr">
        <is>
          <t>FIT/FIP</t>
        </is>
      </c>
      <c r="F20" t="inlineStr">
        <is>
          <t>GGLS1, GGLS4</t>
        </is>
      </c>
      <c r="G20" t="inlineStr">
        <is>
          <t>AR</t>
        </is>
      </c>
      <c r="H20" t="inlineStr">
        <is>
          <t>2023-01-03</t>
        </is>
      </c>
      <c r="I20" t="inlineStr">
        <is>
          <t>2028-01-02</t>
        </is>
      </c>
      <c r="J20" t="inlineStr">
        <is>
          <t>Control Union</t>
        </is>
      </c>
      <c r="K20" t="inlineStr">
        <is>
          <t>Valid</t>
        </is>
      </c>
    </row>
    <row r="21">
      <c r="A21" t="inlineStr">
        <is>
          <t>1884144588428410880</t>
        </is>
      </c>
      <c r="B21" t="inlineStr">
        <is>
          <t>BIOMASS FUEL VIETNAM COMPANY LIMITED</t>
        </is>
      </c>
      <c r="C21" t="inlineStr">
        <is>
          <t>Vietnam</t>
        </is>
      </c>
      <c r="D21" t="inlineStr">
        <is>
          <t>Biomass producer</t>
        </is>
      </c>
      <c r="E21" t="inlineStr">
        <is>
          <t>SDE++</t>
        </is>
      </c>
      <c r="F21" t="inlineStr">
        <is>
          <t>GGLS1, GGLS4</t>
        </is>
      </c>
      <c r="G21" t="inlineStr">
        <is>
          <t>Cat 5</t>
        </is>
      </c>
      <c r="H21" t="inlineStr">
        <is>
          <t>2022-12-22</t>
        </is>
      </c>
      <c r="I21" t="inlineStr">
        <is>
          <t>2027-12-21</t>
        </is>
      </c>
      <c r="J21" t="inlineStr">
        <is>
          <t>Control Union</t>
        </is>
      </c>
      <c r="K21" t="inlineStr">
        <is>
          <t>Revoked</t>
        </is>
      </c>
    </row>
    <row r="22">
      <c r="A22" t="inlineStr">
        <is>
          <t>1884514829792706560</t>
        </is>
      </c>
      <c r="B22" t="inlineStr">
        <is>
          <t>BIOTECHNOLOGY SENSATIONAL SDN. BHD.</t>
        </is>
      </c>
      <c r="C22" t="inlineStr">
        <is>
          <t>Malaysia</t>
        </is>
      </c>
      <c r="D22" t="inlineStr">
        <is>
          <t>Trader</t>
        </is>
      </c>
      <c r="E22" t="inlineStr">
        <is>
          <t>FIT/FIP</t>
        </is>
      </c>
      <c r="F22" t="inlineStr">
        <is>
          <t>GGLS1, GGLS4</t>
        </is>
      </c>
      <c r="G22" t="inlineStr">
        <is>
          <t>AR</t>
        </is>
      </c>
      <c r="H22" t="inlineStr">
        <is>
          <t>2024-09-06</t>
        </is>
      </c>
      <c r="I22" t="inlineStr">
        <is>
          <t>2029-09-05</t>
        </is>
      </c>
      <c r="J22" t="inlineStr">
        <is>
          <t>Control Union</t>
        </is>
      </c>
      <c r="K22" t="inlineStr">
        <is>
          <t>Valid</t>
        </is>
      </c>
    </row>
    <row r="23">
      <c r="A23" t="inlineStr">
        <is>
          <t>1882783500390629376</t>
        </is>
      </c>
      <c r="B23" t="inlineStr">
        <is>
          <t>BLOSSOM BIO ENERGY SDN BHD</t>
        </is>
      </c>
      <c r="C23" t="inlineStr">
        <is>
          <t>Malaysia</t>
        </is>
      </c>
      <c r="D23" t="inlineStr">
        <is>
          <t>Trader</t>
        </is>
      </c>
      <c r="E23" t="inlineStr">
        <is>
          <t>FIT/FIP</t>
        </is>
      </c>
      <c r="F23" t="inlineStr">
        <is>
          <t>GGLS1, GGLS4</t>
        </is>
      </c>
      <c r="G23" t="inlineStr">
        <is>
          <t>AR</t>
        </is>
      </c>
      <c r="H23" t="inlineStr">
        <is>
          <t>2024-05-14</t>
        </is>
      </c>
      <c r="I23" t="inlineStr">
        <is>
          <t>2029-05-13</t>
        </is>
      </c>
      <c r="J23" t="inlineStr">
        <is>
          <t>Control Union</t>
        </is>
      </c>
      <c r="K23" t="inlineStr">
        <is>
          <t>Revoked</t>
        </is>
      </c>
    </row>
    <row r="24">
      <c r="A24" t="inlineStr">
        <is>
          <t>1940291398326550528</t>
        </is>
      </c>
      <c r="B24" t="inlineStr">
        <is>
          <t>BLUE SPANS COMPANY LIMITED</t>
        </is>
      </c>
      <c r="C24" t="inlineStr">
        <is>
          <t>Thailand</t>
        </is>
      </c>
      <c r="D24" t="inlineStr">
        <is>
          <t>Trader</t>
        </is>
      </c>
      <c r="E24" t="inlineStr">
        <is>
          <t>FIT/FIP</t>
        </is>
      </c>
      <c r="F24" t="inlineStr">
        <is>
          <t>GGLS1, GGLS4</t>
        </is>
      </c>
      <c r="G24" t="inlineStr">
        <is>
          <t>AR, WB</t>
        </is>
      </c>
      <c r="H24" t="inlineStr">
        <is>
          <t>2025-07-01</t>
        </is>
      </c>
      <c r="I24" t="inlineStr">
        <is>
          <t>2030-06-30</t>
        </is>
      </c>
      <c r="J24" t="inlineStr">
        <is>
          <t>PT Carsurin Certiva International</t>
        </is>
      </c>
      <c r="K24" t="inlineStr">
        <is>
          <t>Valid</t>
        </is>
      </c>
    </row>
    <row r="25">
      <c r="A25" t="inlineStr">
        <is>
          <t>1883163626781540352</t>
        </is>
      </c>
      <c r="B25" t="inlineStr">
        <is>
          <t>BML SOLUTIONS SDN BHD</t>
        </is>
      </c>
      <c r="C25" t="inlineStr">
        <is>
          <t>Malaysia</t>
        </is>
      </c>
      <c r="D25" t="inlineStr">
        <is>
          <t>First collector</t>
        </is>
      </c>
      <c r="E25" t="inlineStr">
        <is>
          <t>FIT/FIP</t>
        </is>
      </c>
      <c r="F25" t="inlineStr">
        <is>
          <t>GGLS1, GGLS4</t>
        </is>
      </c>
      <c r="G25" t="inlineStr">
        <is>
          <t>AR</t>
        </is>
      </c>
      <c r="H25" t="inlineStr">
        <is>
          <t>2024-01-10</t>
        </is>
      </c>
      <c r="I25" t="inlineStr">
        <is>
          <t>2029-01-09</t>
        </is>
      </c>
      <c r="J25" t="inlineStr">
        <is>
          <t>Control Union</t>
        </is>
      </c>
      <c r="K25" t="inlineStr">
        <is>
          <t>Valid</t>
        </is>
      </c>
    </row>
    <row r="26">
      <c r="A26" t="inlineStr">
        <is>
          <t>1882863784981168128</t>
        </is>
      </c>
      <c r="B26" t="inlineStr">
        <is>
          <t>BNE TRADING SDN BHD</t>
        </is>
      </c>
      <c r="C26" t="inlineStr">
        <is>
          <t>Malaysia</t>
        </is>
      </c>
      <c r="D26" t="inlineStr">
        <is>
          <t>First collector</t>
        </is>
      </c>
      <c r="E26" t="inlineStr">
        <is>
          <t>FIT/FIP</t>
        </is>
      </c>
      <c r="F26" t="inlineStr">
        <is>
          <t>GGLS1, GGLS4</t>
        </is>
      </c>
      <c r="G26" t="inlineStr">
        <is>
          <t>AR</t>
        </is>
      </c>
      <c r="H26" t="inlineStr">
        <is>
          <t>2024-04-23</t>
        </is>
      </c>
      <c r="I26" t="inlineStr">
        <is>
          <t>2029-04-22</t>
        </is>
      </c>
      <c r="J26" t="inlineStr">
        <is>
          <t>Control Union</t>
        </is>
      </c>
      <c r="K26" t="inlineStr">
        <is>
          <t>Valid</t>
        </is>
      </c>
    </row>
    <row r="27">
      <c r="A27" t="inlineStr">
        <is>
          <t>1883251892109180928</t>
        </is>
      </c>
      <c r="B27" t="inlineStr">
        <is>
          <t>BRILLIANT SHIPPING AGENCY SDN. BHD.</t>
        </is>
      </c>
      <c r="C27" t="inlineStr">
        <is>
          <t>Malaysia</t>
        </is>
      </c>
      <c r="D27" t="inlineStr">
        <is>
          <t>Trader</t>
        </is>
      </c>
      <c r="E27" t="inlineStr">
        <is>
          <t>FIT/FIP</t>
        </is>
      </c>
      <c r="F27" t="inlineStr">
        <is>
          <t>GGLS1, GGLS4</t>
        </is>
      </c>
      <c r="G27" t="inlineStr">
        <is>
          <t>AR</t>
        </is>
      </c>
      <c r="H27" t="inlineStr">
        <is>
          <t>2023-09-26</t>
        </is>
      </c>
      <c r="I27" t="inlineStr">
        <is>
          <t>2028-09-25</t>
        </is>
      </c>
      <c r="J27" t="inlineStr">
        <is>
          <t>Control Union</t>
        </is>
      </c>
      <c r="K27" t="inlineStr">
        <is>
          <t>Valid</t>
        </is>
      </c>
    </row>
    <row r="28">
      <c r="A28" t="inlineStr">
        <is>
          <t>1915592441109413888</t>
        </is>
      </c>
      <c r="B28" t="inlineStr">
        <is>
          <t>Balcom Co.,Ltd.</t>
        </is>
      </c>
      <c r="C28" t="inlineStr">
        <is>
          <t>Japan</t>
        </is>
      </c>
      <c r="D28" t="inlineStr">
        <is>
          <t>Trader</t>
        </is>
      </c>
      <c r="E28" t="inlineStr">
        <is>
          <t>FIT/FIP</t>
        </is>
      </c>
      <c r="F28" t="inlineStr">
        <is>
          <t>GGLS1, GGLS4</t>
        </is>
      </c>
      <c r="G28" t="inlineStr">
        <is>
          <t>AR</t>
        </is>
      </c>
      <c r="H28" t="inlineStr">
        <is>
          <t>2025-04-11</t>
        </is>
      </c>
      <c r="I28" t="inlineStr">
        <is>
          <t>2030-04-10</t>
        </is>
      </c>
      <c r="J28" t="inlineStr">
        <is>
          <t>Control Union</t>
        </is>
      </c>
      <c r="K28" t="inlineStr">
        <is>
          <t>Valid</t>
        </is>
      </c>
    </row>
    <row r="29">
      <c r="A29" t="inlineStr">
        <is>
          <t>1884174408705114112</t>
        </is>
      </c>
      <c r="B29" t="inlineStr">
        <is>
          <t>Bio Fuel Co., Inc.</t>
        </is>
      </c>
      <c r="C29" t="inlineStr">
        <is>
          <t>Japan</t>
        </is>
      </c>
      <c r="D29" t="inlineStr">
        <is>
          <t>Trader</t>
        </is>
      </c>
      <c r="E29" t="inlineStr">
        <is>
          <t>FIT/FIP</t>
        </is>
      </c>
      <c r="F29" t="inlineStr">
        <is>
          <t>GGLS1, GGLS4</t>
        </is>
      </c>
      <c r="G29" t="inlineStr">
        <is>
          <t>AR</t>
        </is>
      </c>
      <c r="H29" t="inlineStr">
        <is>
          <t>2022-02-04</t>
        </is>
      </c>
      <c r="I29" t="inlineStr">
        <is>
          <t>2027-02-03</t>
        </is>
      </c>
      <c r="J29" t="inlineStr">
        <is>
          <t>Control Union</t>
        </is>
      </c>
      <c r="K29" t="inlineStr">
        <is>
          <t>Valid</t>
        </is>
      </c>
    </row>
    <row r="30">
      <c r="A30" t="inlineStr">
        <is>
          <t>1884183145683615744</t>
        </is>
      </c>
      <c r="B30" t="inlineStr">
        <is>
          <t>Biomass Fuel Co., Ltd.</t>
        </is>
      </c>
      <c r="C30" t="inlineStr">
        <is>
          <t>Japan</t>
        </is>
      </c>
      <c r="D30" t="inlineStr">
        <is>
          <t>Trader</t>
        </is>
      </c>
      <c r="E30" t="inlineStr">
        <is>
          <t>FIT/FIP</t>
        </is>
      </c>
      <c r="F30" t="inlineStr">
        <is>
          <t>GGLS1, GGLS4</t>
        </is>
      </c>
      <c r="G30" t="inlineStr">
        <is>
          <t>AR</t>
        </is>
      </c>
      <c r="H30" t="inlineStr">
        <is>
          <t>2022-08-12</t>
        </is>
      </c>
      <c r="I30" t="inlineStr">
        <is>
          <t>2027-08-11</t>
        </is>
      </c>
      <c r="J30" t="inlineStr">
        <is>
          <t>Control Union</t>
        </is>
      </c>
      <c r="K30" t="inlineStr">
        <is>
          <t>Valid</t>
        </is>
      </c>
    </row>
    <row r="31">
      <c r="A31" t="inlineStr">
        <is>
          <t>1891691461003444224</t>
        </is>
      </c>
      <c r="B31" t="inlineStr">
        <is>
          <t>Buzen New Energy GK.</t>
        </is>
      </c>
      <c r="C31" t="inlineStr">
        <is>
          <t>Japan</t>
        </is>
      </c>
      <c r="D31" t="inlineStr">
        <is>
          <t>Power company</t>
        </is>
      </c>
      <c r="E31" t="inlineStr">
        <is>
          <t>FIT/FIP</t>
        </is>
      </c>
      <c r="F31" t="inlineStr">
        <is>
          <t>GGLS1, GGLS4, GGLS6</t>
        </is>
      </c>
      <c r="G31" t="inlineStr">
        <is>
          <t>AR, WB</t>
        </is>
      </c>
      <c r="H31" t="inlineStr">
        <is>
          <t>2023-03-15</t>
        </is>
      </c>
      <c r="I31" t="inlineStr">
        <is>
          <t>2028-03-14</t>
        </is>
      </c>
      <c r="J31" t="inlineStr">
        <is>
          <t>Control Union</t>
        </is>
      </c>
      <c r="K31" t="inlineStr">
        <is>
          <t>Valid</t>
        </is>
      </c>
    </row>
    <row r="32">
      <c r="A32" t="inlineStr">
        <is>
          <t>1923230402449768448</t>
        </is>
      </c>
      <c r="B32" t="inlineStr">
        <is>
          <t>CELLMARK JAPAN</t>
        </is>
      </c>
      <c r="C32" t="inlineStr">
        <is>
          <t>Japan</t>
        </is>
      </c>
      <c r="D32" t="inlineStr">
        <is>
          <t>Trader</t>
        </is>
      </c>
      <c r="E32" t="inlineStr">
        <is>
          <t>FIT/FIP</t>
        </is>
      </c>
      <c r="F32" t="inlineStr">
        <is>
          <t>GGLS1, GGLS4</t>
        </is>
      </c>
      <c r="G32" t="inlineStr">
        <is>
          <t>AR, WB</t>
        </is>
      </c>
      <c r="H32" t="inlineStr">
        <is>
          <t>2025-05-08</t>
        </is>
      </c>
      <c r="I32" t="inlineStr">
        <is>
          <t>2030-05-07</t>
        </is>
      </c>
      <c r="J32" t="inlineStr">
        <is>
          <t>Control Union</t>
        </is>
      </c>
      <c r="K32" t="inlineStr">
        <is>
          <t>Valid</t>
        </is>
      </c>
    </row>
    <row r="33">
      <c r="A33" t="inlineStr">
        <is>
          <t>1884196453362958336</t>
        </is>
      </c>
      <c r="B33" t="inlineStr">
        <is>
          <t>CEPO HANDA BIOMASS POWER CO., LTD. (GGL)</t>
        </is>
      </c>
      <c r="C33" t="inlineStr">
        <is>
          <t>Japan</t>
        </is>
      </c>
      <c r="D33" t="inlineStr">
        <is>
          <t>Power company</t>
        </is>
      </c>
      <c r="E33" t="inlineStr">
        <is>
          <t>FIT/FIP</t>
        </is>
      </c>
      <c r="F33" t="inlineStr">
        <is>
          <t>GGLS1, GGLS4, GGLS6</t>
        </is>
      </c>
      <c r="G33" t="inlineStr">
        <is>
          <t>AR</t>
        </is>
      </c>
      <c r="H33" t="inlineStr">
        <is>
          <t>2022-04-26</t>
        </is>
      </c>
      <c r="I33" t="inlineStr">
        <is>
          <t>2027-04-25</t>
        </is>
      </c>
      <c r="J33" t="inlineStr">
        <is>
          <t>Control Union</t>
        </is>
      </c>
      <c r="K33" t="inlineStr">
        <is>
          <t>Valid</t>
        </is>
      </c>
    </row>
    <row r="34">
      <c r="A34" t="inlineStr">
        <is>
          <t>1883140329813573632</t>
        </is>
      </c>
      <c r="B34" t="inlineStr">
        <is>
          <t>CHINGHUAI GLOBAL TRADING</t>
        </is>
      </c>
      <c r="C34" t="inlineStr">
        <is>
          <t>Malaysia</t>
        </is>
      </c>
      <c r="D34" t="inlineStr">
        <is>
          <t>First collector</t>
        </is>
      </c>
      <c r="E34" t="inlineStr">
        <is>
          <t>FIT/FIP</t>
        </is>
      </c>
      <c r="F34" t="inlineStr">
        <is>
          <t>GGLS1, GGLS4</t>
        </is>
      </c>
      <c r="G34" t="inlineStr">
        <is>
          <t>AR</t>
        </is>
      </c>
      <c r="H34" t="inlineStr">
        <is>
          <t>2024-02-06</t>
        </is>
      </c>
      <c r="I34" t="inlineStr">
        <is>
          <t>2029-02-05</t>
        </is>
      </c>
      <c r="J34" t="inlineStr">
        <is>
          <t>Control Union</t>
        </is>
      </c>
      <c r="K34" t="inlineStr">
        <is>
          <t>Valid</t>
        </is>
      </c>
    </row>
    <row r="35">
      <c r="A35" t="inlineStr">
        <is>
          <t>1882875146486677504</t>
        </is>
      </c>
      <c r="B35" t="inlineStr">
        <is>
          <t>CM Biomass Partners A/S</t>
        </is>
      </c>
      <c r="C35" t="inlineStr">
        <is>
          <t>Denmark</t>
        </is>
      </c>
      <c r="D35" t="inlineStr">
        <is>
          <t>Trader</t>
        </is>
      </c>
      <c r="E35" t="inlineStr">
        <is>
          <t>SDE++</t>
        </is>
      </c>
      <c r="F35" t="inlineStr">
        <is>
          <t>GGLS1, GGLS4</t>
        </is>
      </c>
      <c r="G35" t="inlineStr">
        <is>
          <t>Cat 5</t>
        </is>
      </c>
      <c r="H35" t="inlineStr">
        <is>
          <t>2024-04-03</t>
        </is>
      </c>
      <c r="I35" t="inlineStr">
        <is>
          <t>2029-04-02</t>
        </is>
      </c>
      <c r="J35" t="inlineStr">
        <is>
          <t>Control Union</t>
        </is>
      </c>
      <c r="K35" t="inlineStr">
        <is>
          <t>Valid</t>
        </is>
      </c>
    </row>
    <row r="36">
      <c r="A36" t="inlineStr">
        <is>
          <t>1883529781547368448</t>
        </is>
      </c>
      <c r="B36" t="inlineStr">
        <is>
          <t>CONG TY TNHH EFAT GROUP (VIET NAM)</t>
        </is>
      </c>
      <c r="C36" t="inlineStr">
        <is>
          <t>Vietnam</t>
        </is>
      </c>
      <c r="D36" t="inlineStr">
        <is>
          <t>First collector</t>
        </is>
      </c>
      <c r="E36" t="inlineStr">
        <is>
          <t>FIT/FIP</t>
        </is>
      </c>
      <c r="F36" t="inlineStr">
        <is>
          <t>GGLS1, GGLS4</t>
        </is>
      </c>
      <c r="G36" t="inlineStr">
        <is>
          <t>AR</t>
        </is>
      </c>
      <c r="H36" t="inlineStr">
        <is>
          <t>2024-07-31</t>
        </is>
      </c>
      <c r="I36" t="inlineStr">
        <is>
          <t>2029-07-30</t>
        </is>
      </c>
      <c r="J36" t="inlineStr">
        <is>
          <t>Control Union</t>
        </is>
      </c>
      <c r="K36" t="inlineStr">
        <is>
          <t>Revoked</t>
        </is>
      </c>
    </row>
    <row r="37">
      <c r="A37" t="inlineStr">
        <is>
          <t>1873695773502210048</t>
        </is>
      </c>
      <c r="B37" t="inlineStr">
        <is>
          <t>CV ANDI JAYA MANDIRI</t>
        </is>
      </c>
      <c r="C37" t="inlineStr">
        <is>
          <t>Indonesia</t>
        </is>
      </c>
      <c r="D37" t="inlineStr">
        <is>
          <t>First collector</t>
        </is>
      </c>
      <c r="E37" t="inlineStr">
        <is>
          <t>FIT/FIP</t>
        </is>
      </c>
      <c r="F37" t="inlineStr">
        <is>
          <t>GGLS1, GGLS4</t>
        </is>
      </c>
      <c r="G37" t="inlineStr">
        <is>
          <t>AR</t>
        </is>
      </c>
      <c r="H37" t="inlineStr">
        <is>
          <t>2024-11-13</t>
        </is>
      </c>
      <c r="I37" t="inlineStr">
        <is>
          <t>2029-11-12</t>
        </is>
      </c>
      <c r="J37" t="inlineStr">
        <is>
          <t>PT Carsurin Certiva International</t>
        </is>
      </c>
      <c r="K37" t="inlineStr">
        <is>
          <t>Valid</t>
        </is>
      </c>
    </row>
    <row r="38">
      <c r="A38" t="inlineStr">
        <is>
          <t>1932326924273582080</t>
        </is>
      </c>
      <c r="B38" t="inlineStr">
        <is>
          <t>CV BENUA SAWITA AGRI</t>
        </is>
      </c>
      <c r="C38" t="inlineStr">
        <is>
          <t>Indonesia</t>
        </is>
      </c>
      <c r="D38" t="inlineStr">
        <is>
          <t>First collector</t>
        </is>
      </c>
      <c r="E38" t="inlineStr">
        <is>
          <t>FIT/FIP</t>
        </is>
      </c>
      <c r="F38" t="inlineStr">
        <is>
          <t>GGLS1, GGLS4</t>
        </is>
      </c>
      <c r="G38" t="inlineStr">
        <is>
          <t>AR</t>
        </is>
      </c>
      <c r="H38" t="inlineStr">
        <is>
          <t>2024-04-18</t>
        </is>
      </c>
      <c r="I38" t="inlineStr">
        <is>
          <t>2029-04-17</t>
        </is>
      </c>
      <c r="J38" t="inlineStr">
        <is>
          <t>PT Carsurin Certiva International</t>
        </is>
      </c>
      <c r="K38" t="inlineStr">
        <is>
          <t>Revoked</t>
        </is>
      </c>
    </row>
    <row r="39">
      <c r="A39" t="inlineStr">
        <is>
          <t>1873691308346834944</t>
        </is>
      </c>
      <c r="B39" t="inlineStr">
        <is>
          <t>CV GEMILANG SOLUSI MANDIRI</t>
        </is>
      </c>
      <c r="C39" t="inlineStr">
        <is>
          <t>Indonesia</t>
        </is>
      </c>
      <c r="D39" t="inlineStr">
        <is>
          <t>First collector</t>
        </is>
      </c>
      <c r="E39" t="inlineStr">
        <is>
          <t>FIT/FIP</t>
        </is>
      </c>
      <c r="F39" t="inlineStr">
        <is>
          <t>GGLS1, GGLS4</t>
        </is>
      </c>
      <c r="G39" t="inlineStr">
        <is>
          <t>AR</t>
        </is>
      </c>
      <c r="H39" t="inlineStr">
        <is>
          <t>2024-04-18</t>
        </is>
      </c>
      <c r="I39" t="inlineStr">
        <is>
          <t>2029-04-17</t>
        </is>
      </c>
      <c r="J39" t="inlineStr">
        <is>
          <t>PT Carsurin Certiva International</t>
        </is>
      </c>
      <c r="K39" t="inlineStr">
        <is>
          <t>Revoked</t>
        </is>
      </c>
    </row>
    <row r="40">
      <c r="A40" t="inlineStr">
        <is>
          <t>1873693721845825536</t>
        </is>
      </c>
      <c r="B40" t="inlineStr">
        <is>
          <t>CV JAYA BARU LINTAS</t>
        </is>
      </c>
      <c r="C40" t="inlineStr">
        <is>
          <t>Indonesia</t>
        </is>
      </c>
      <c r="D40" t="inlineStr">
        <is>
          <t>First collector</t>
        </is>
      </c>
      <c r="E40" t="inlineStr">
        <is>
          <t>FIT/FIP</t>
        </is>
      </c>
      <c r="F40" t="inlineStr">
        <is>
          <t>GGLS1, GGLS4</t>
        </is>
      </c>
      <c r="G40" t="inlineStr">
        <is>
          <t>AR</t>
        </is>
      </c>
      <c r="H40" t="inlineStr">
        <is>
          <t>2024-04-18</t>
        </is>
      </c>
      <c r="I40" t="inlineStr">
        <is>
          <t>2029-04-17</t>
        </is>
      </c>
      <c r="J40" t="inlineStr">
        <is>
          <t>PT Carsurin Certiva International</t>
        </is>
      </c>
      <c r="K40" t="inlineStr">
        <is>
          <t>Valid</t>
        </is>
      </c>
    </row>
    <row r="41">
      <c r="A41" t="inlineStr">
        <is>
          <t>1873696484398989312</t>
        </is>
      </c>
      <c r="B41" t="inlineStr">
        <is>
          <t>CV KORI JAYA ABADI</t>
        </is>
      </c>
      <c r="C41" t="inlineStr">
        <is>
          <t>Indonesia</t>
        </is>
      </c>
      <c r="D41" t="inlineStr">
        <is>
          <t>First collector</t>
        </is>
      </c>
      <c r="E41" t="inlineStr">
        <is>
          <t>FIT/FIP</t>
        </is>
      </c>
      <c r="F41" t="inlineStr">
        <is>
          <t>GGLS1, GGLS4</t>
        </is>
      </c>
      <c r="G41" t="inlineStr">
        <is>
          <t>AR, Cat 5</t>
        </is>
      </c>
      <c r="H41" t="inlineStr">
        <is>
          <t>2024-04-27</t>
        </is>
      </c>
      <c r="I41" t="inlineStr">
        <is>
          <t>2029-04-26</t>
        </is>
      </c>
      <c r="J41" t="inlineStr">
        <is>
          <t>PT Carsurin Certiva International</t>
        </is>
      </c>
      <c r="K41" t="inlineStr">
        <is>
          <t>Valid</t>
        </is>
      </c>
    </row>
    <row r="42">
      <c r="A42" t="inlineStr">
        <is>
          <t>1873696345965985792</t>
        </is>
      </c>
      <c r="B42" t="inlineStr">
        <is>
          <t>CV LOJAYA MAKMUR</t>
        </is>
      </c>
      <c r="C42" t="inlineStr">
        <is>
          <t>Indonesia</t>
        </is>
      </c>
      <c r="D42" t="inlineStr">
        <is>
          <t>First collector</t>
        </is>
      </c>
      <c r="E42" t="inlineStr">
        <is>
          <t>FIT/FIP</t>
        </is>
      </c>
      <c r="F42" t="inlineStr">
        <is>
          <t>GGLS1, GGLS4</t>
        </is>
      </c>
      <c r="G42" t="inlineStr">
        <is>
          <t>AR, Cat 5</t>
        </is>
      </c>
      <c r="H42" t="inlineStr">
        <is>
          <t>2024-10-01</t>
        </is>
      </c>
      <c r="I42" t="inlineStr">
        <is>
          <t>2029-09-30</t>
        </is>
      </c>
      <c r="J42" t="inlineStr">
        <is>
          <t>PT Carsurin Certiva International</t>
        </is>
      </c>
      <c r="K42" t="inlineStr">
        <is>
          <t>Valid</t>
        </is>
      </c>
    </row>
    <row r="43">
      <c r="A43" t="inlineStr">
        <is>
          <t>1914518085121867776</t>
        </is>
      </c>
      <c r="B43" t="inlineStr">
        <is>
          <t>CV MULIA AGRIBISNIS</t>
        </is>
      </c>
      <c r="C43" t="inlineStr">
        <is>
          <t>Indonesia</t>
        </is>
      </c>
      <c r="D43" t="inlineStr">
        <is>
          <t>First collector</t>
        </is>
      </c>
      <c r="E43" t="inlineStr">
        <is>
          <t>FIT/FIP</t>
        </is>
      </c>
      <c r="F43" t="inlineStr">
        <is>
          <t>GGLS1, GGLS4</t>
        </is>
      </c>
      <c r="G43" t="inlineStr">
        <is>
          <t>AR, Cat 5</t>
        </is>
      </c>
      <c r="H43" t="inlineStr">
        <is>
          <t>2024-12-27</t>
        </is>
      </c>
      <c r="I43" t="inlineStr">
        <is>
          <t>2029-12-26</t>
        </is>
      </c>
      <c r="J43" t="inlineStr">
        <is>
          <t>PT Carsurin Certiva International</t>
        </is>
      </c>
      <c r="K43" t="inlineStr">
        <is>
          <t>Valid</t>
        </is>
      </c>
    </row>
    <row r="44">
      <c r="A44" t="inlineStr">
        <is>
          <t>1882778852820779008</t>
        </is>
      </c>
      <c r="B44" t="inlineStr">
        <is>
          <t>CV Putra Sanjaya</t>
        </is>
      </c>
      <c r="C44" t="inlineStr">
        <is>
          <t>Indonesia</t>
        </is>
      </c>
      <c r="D44" t="inlineStr">
        <is>
          <t>First collector, Trader</t>
        </is>
      </c>
      <c r="E44" t="inlineStr">
        <is>
          <t>FIT/FIP</t>
        </is>
      </c>
      <c r="F44" t="inlineStr">
        <is>
          <t>GGLS1, GGLS4</t>
        </is>
      </c>
      <c r="G44" t="inlineStr">
        <is>
          <t>AR</t>
        </is>
      </c>
      <c r="H44" t="inlineStr">
        <is>
          <t>2024-05-28</t>
        </is>
      </c>
      <c r="I44" t="inlineStr">
        <is>
          <t>2029-05-27</t>
        </is>
      </c>
      <c r="J44" t="inlineStr">
        <is>
          <t>PT Carsurin Certiva International</t>
        </is>
      </c>
      <c r="K44" t="inlineStr">
        <is>
          <t>Valid</t>
        </is>
      </c>
    </row>
    <row r="45">
      <c r="A45" t="inlineStr">
        <is>
          <t>1873672239820308480</t>
        </is>
      </c>
      <c r="B45" t="inlineStr">
        <is>
          <t>CV RABOL FAJAR ABADI</t>
        </is>
      </c>
      <c r="C45" t="inlineStr">
        <is>
          <t>Indonesia</t>
        </is>
      </c>
      <c r="D45" t="inlineStr">
        <is>
          <t>First collector</t>
        </is>
      </c>
      <c r="E45" t="inlineStr">
        <is>
          <t>FIT/FIP</t>
        </is>
      </c>
      <c r="F45" t="inlineStr">
        <is>
          <t>GGLS1, GGLS4</t>
        </is>
      </c>
      <c r="G45" t="inlineStr">
        <is>
          <t>AR</t>
        </is>
      </c>
      <c r="H45" t="inlineStr">
        <is>
          <t>2024-03-24</t>
        </is>
      </c>
      <c r="I45" t="inlineStr">
        <is>
          <t>2029-03-23</t>
        </is>
      </c>
      <c r="J45" t="inlineStr">
        <is>
          <t>PT Carsurin Certiva International</t>
        </is>
      </c>
      <c r="K45" t="inlineStr">
        <is>
          <t>Valid</t>
        </is>
      </c>
    </row>
    <row r="46">
      <c r="A46" t="inlineStr">
        <is>
          <t>1873700851193741312</t>
        </is>
      </c>
      <c r="B46" t="inlineStr">
        <is>
          <t>CV XELIN MAJU SEJAHTERA</t>
        </is>
      </c>
      <c r="C46" t="inlineStr">
        <is>
          <t>Indonesia</t>
        </is>
      </c>
      <c r="D46" t="inlineStr">
        <is>
          <t>First collector</t>
        </is>
      </c>
      <c r="E46" t="inlineStr">
        <is>
          <t>FIT/FIP</t>
        </is>
      </c>
      <c r="F46" t="inlineStr">
        <is>
          <t>GGLS1, GGLS4</t>
        </is>
      </c>
      <c r="G46" t="inlineStr">
        <is>
          <t>AR</t>
        </is>
      </c>
      <c r="H46" t="inlineStr">
        <is>
          <t>2024-06-14</t>
        </is>
      </c>
      <c r="I46" t="inlineStr">
        <is>
          <t>2029-06-13</t>
        </is>
      </c>
      <c r="J46" t="inlineStr">
        <is>
          <t>PT Carsurin Certiva International</t>
        </is>
      </c>
      <c r="K46" t="inlineStr">
        <is>
          <t>Valid</t>
        </is>
      </c>
    </row>
    <row r="47">
      <c r="A47" t="inlineStr">
        <is>
          <t>2061640944872062976</t>
        </is>
      </c>
      <c r="B47" t="inlineStr">
        <is>
          <t>CV. ANUGRAH ABADI</t>
        </is>
      </c>
      <c r="C47" t="inlineStr">
        <is>
          <t>Indonesia</t>
        </is>
      </c>
      <c r="D47" t="inlineStr">
        <is>
          <t>First collector</t>
        </is>
      </c>
      <c r="E47" t="inlineStr">
        <is>
          <t>FIT/FIP</t>
        </is>
      </c>
      <c r="F47" t="inlineStr">
        <is>
          <t>GGLS1, GGLS4</t>
        </is>
      </c>
      <c r="G47" t="inlineStr">
        <is>
          <t>AR, Cat 5</t>
        </is>
      </c>
      <c r="H47" t="inlineStr">
        <is>
          <t>2025-12-15</t>
        </is>
      </c>
      <c r="I47" t="inlineStr">
        <is>
          <t>2030-12-14</t>
        </is>
      </c>
      <c r="J47" t="inlineStr">
        <is>
          <t>PT Carsurin Certiva International</t>
        </is>
      </c>
      <c r="K47" t="inlineStr">
        <is>
          <t>Valid</t>
        </is>
      </c>
    </row>
    <row r="48">
      <c r="A48" t="inlineStr">
        <is>
          <t>1883524278981230592</t>
        </is>
      </c>
      <c r="B48" t="inlineStr">
        <is>
          <t>CellMark Asia PTE Ltd</t>
        </is>
      </c>
      <c r="C48" t="inlineStr">
        <is>
          <t>Singapore</t>
        </is>
      </c>
      <c r="D48" t="inlineStr">
        <is>
          <t>Trader</t>
        </is>
      </c>
      <c r="E48" t="inlineStr">
        <is>
          <t>FIT/FIP</t>
        </is>
      </c>
      <c r="F48" t="inlineStr">
        <is>
          <t>GGLS1, GGLS4</t>
        </is>
      </c>
      <c r="G48" t="inlineStr">
        <is>
          <t>AR</t>
        </is>
      </c>
      <c r="H48" t="inlineStr">
        <is>
          <t>2024-08-08</t>
        </is>
      </c>
      <c r="I48" t="inlineStr">
        <is>
          <t>2029-08-07</t>
        </is>
      </c>
      <c r="J48" t="inlineStr">
        <is>
          <t>Control Union</t>
        </is>
      </c>
      <c r="K48" t="inlineStr">
        <is>
          <t>Valid</t>
        </is>
      </c>
    </row>
    <row r="49">
      <c r="A49" t="inlineStr">
        <is>
          <t>1883524278981230592</t>
        </is>
      </c>
      <c r="B49" t="inlineStr">
        <is>
          <t>CellMark Asia PTE Ltd</t>
        </is>
      </c>
      <c r="C49" t="inlineStr">
        <is>
          <t>Singapore</t>
        </is>
      </c>
      <c r="D49" t="inlineStr">
        <is>
          <t>Trader</t>
        </is>
      </c>
      <c r="E49" t="inlineStr">
        <is>
          <t>SDE++</t>
        </is>
      </c>
      <c r="F49" t="inlineStr">
        <is>
          <t>GGLS1, GGLS4</t>
        </is>
      </c>
      <c r="G49" t="inlineStr">
        <is>
          <t>Cat 5</t>
        </is>
      </c>
      <c r="H49" t="inlineStr">
        <is>
          <t>2024-08-08</t>
        </is>
      </c>
      <c r="I49" t="inlineStr">
        <is>
          <t>2029-08-07</t>
        </is>
      </c>
      <c r="J49" t="inlineStr">
        <is>
          <t>Control Union</t>
        </is>
      </c>
      <c r="K49" t="inlineStr">
        <is>
          <t>Valid</t>
        </is>
      </c>
    </row>
    <row r="50">
      <c r="A50" t="inlineStr">
        <is>
          <t>2072610807069278208</t>
        </is>
      </c>
      <c r="B50" t="inlineStr">
        <is>
          <t>Cemcoa Energy Pte. Ltd.</t>
        </is>
      </c>
      <c r="C50" t="inlineStr">
        <is>
          <t>Singapore</t>
        </is>
      </c>
      <c r="D50" t="inlineStr">
        <is>
          <t>Trader</t>
        </is>
      </c>
      <c r="E50" t="inlineStr">
        <is>
          <t>FIT/FIP</t>
        </is>
      </c>
      <c r="F50" t="inlineStr">
        <is>
          <t>GGLS1, GGLS4</t>
        </is>
      </c>
      <c r="G50" t="inlineStr">
        <is>
          <t>AR, Cat 5</t>
        </is>
      </c>
      <c r="H50" t="inlineStr">
        <is>
          <t>2026-02-02</t>
        </is>
      </c>
      <c r="I50" t="inlineStr">
        <is>
          <t>2031-02-01</t>
        </is>
      </c>
      <c r="J50" t="inlineStr">
        <is>
          <t>Control Union</t>
        </is>
      </c>
      <c r="K50" t="inlineStr">
        <is>
          <t>Valid</t>
        </is>
      </c>
    </row>
    <row r="51">
      <c r="A51" t="inlineStr">
        <is>
          <t>1882878796600705024</t>
        </is>
      </c>
      <c r="B51" t="inlineStr">
        <is>
          <t>Central Valley Ag Grinding, LLC  (CVAG)</t>
        </is>
      </c>
      <c r="C51" t="inlineStr">
        <is>
          <t>United States</t>
        </is>
      </c>
      <c r="D51" t="inlineStr">
        <is>
          <t>First collector</t>
        </is>
      </c>
      <c r="E51" t="inlineStr">
        <is>
          <t>FIT/FIP</t>
        </is>
      </c>
      <c r="F51" t="inlineStr">
        <is>
          <t>GGLS1, GGLS4</t>
        </is>
      </c>
      <c r="G51" t="inlineStr">
        <is>
          <t>AR</t>
        </is>
      </c>
      <c r="H51" t="inlineStr">
        <is>
          <t>2024-08-30</t>
        </is>
      </c>
      <c r="I51" t="inlineStr">
        <is>
          <t>2029-08-29</t>
        </is>
      </c>
      <c r="J51" t="inlineStr">
        <is>
          <t>Control Union</t>
        </is>
      </c>
      <c r="K51" t="inlineStr">
        <is>
          <t>Valid</t>
        </is>
      </c>
    </row>
    <row r="52">
      <c r="A52" t="inlineStr">
        <is>
          <t>1883122937406423040</t>
        </is>
      </c>
      <c r="B52" t="inlineStr">
        <is>
          <t>Che Yu Trading Sdn Bhd</t>
        </is>
      </c>
      <c r="C52" t="inlineStr">
        <is>
          <t>Malaysia</t>
        </is>
      </c>
      <c r="D52" t="inlineStr">
        <is>
          <t>First collector</t>
        </is>
      </c>
      <c r="E52" t="inlineStr">
        <is>
          <t>FIT/FIP</t>
        </is>
      </c>
      <c r="F52" t="inlineStr">
        <is>
          <t>GGLS1, GGLS4</t>
        </is>
      </c>
      <c r="G52" t="inlineStr">
        <is>
          <t>AR</t>
        </is>
      </c>
      <c r="H52" t="inlineStr">
        <is>
          <t>2024-03-11</t>
        </is>
      </c>
      <c r="I52" t="inlineStr">
        <is>
          <t>2029-03-10</t>
        </is>
      </c>
      <c r="J52" t="inlineStr">
        <is>
          <t>Control Union</t>
        </is>
      </c>
      <c r="K52" t="inlineStr">
        <is>
          <t>Valid</t>
        </is>
      </c>
    </row>
    <row r="53">
      <c r="A53" t="inlineStr">
        <is>
          <t>1882787138798354432</t>
        </is>
      </c>
      <c r="B53" t="inlineStr">
        <is>
          <t>DAEHWA E&amp;R SDN BHD</t>
        </is>
      </c>
      <c r="C53" t="inlineStr">
        <is>
          <t>Malaysia</t>
        </is>
      </c>
      <c r="D53" t="inlineStr">
        <is>
          <t>Trader</t>
        </is>
      </c>
      <c r="E53" t="inlineStr">
        <is>
          <t>FIT/FIP</t>
        </is>
      </c>
      <c r="F53" t="inlineStr">
        <is>
          <t>GGLS1, GGLS4</t>
        </is>
      </c>
      <c r="G53" t="inlineStr">
        <is>
          <t>Cat 5</t>
        </is>
      </c>
      <c r="H53" t="inlineStr">
        <is>
          <t>2024-04-29</t>
        </is>
      </c>
      <c r="I53" t="inlineStr">
        <is>
          <t>2029-04-28</t>
        </is>
      </c>
      <c r="J53" t="inlineStr">
        <is>
          <t>Trans Certification &amp; Inspection SDN. BHD.</t>
        </is>
      </c>
      <c r="K53" t="inlineStr">
        <is>
          <t>Valid</t>
        </is>
      </c>
    </row>
    <row r="54">
      <c r="A54" t="inlineStr">
        <is>
          <t>1985936666556104704</t>
        </is>
      </c>
      <c r="B54" t="inlineStr">
        <is>
          <t>DAI DUONG ENERGY IMPORT EXPORT COMPANY LIMITED</t>
        </is>
      </c>
      <c r="C54" t="inlineStr">
        <is>
          <t>Vietnam</t>
        </is>
      </c>
      <c r="D54" t="inlineStr">
        <is>
          <t>Trader</t>
        </is>
      </c>
      <c r="E54" t="inlineStr">
        <is>
          <t>FIT/FIP</t>
        </is>
      </c>
      <c r="F54" t="inlineStr">
        <is>
          <t>GGLS1, GGLS4</t>
        </is>
      </c>
      <c r="G54" t="inlineStr">
        <is>
          <t>WB</t>
        </is>
      </c>
      <c r="H54" t="inlineStr">
        <is>
          <t>2025-11-04</t>
        </is>
      </c>
      <c r="I54" t="inlineStr">
        <is>
          <t>2030-11-03</t>
        </is>
      </c>
      <c r="J54" t="inlineStr">
        <is>
          <t>PT Intertek Utama Services</t>
        </is>
      </c>
      <c r="K54" t="inlineStr">
        <is>
          <t>Valid</t>
        </is>
      </c>
    </row>
    <row r="55">
      <c r="A55" t="inlineStr">
        <is>
          <t>1882784356099948544</t>
        </is>
      </c>
      <c r="B55" t="inlineStr">
        <is>
          <t>DAYA SYNERGY BORNEO SDN BHD</t>
        </is>
      </c>
      <c r="C55" t="inlineStr">
        <is>
          <t>Malaysia</t>
        </is>
      </c>
      <c r="D55" t="inlineStr">
        <is>
          <t>First collector</t>
        </is>
      </c>
      <c r="E55" t="inlineStr">
        <is>
          <t>FIT/FIP</t>
        </is>
      </c>
      <c r="F55" t="inlineStr">
        <is>
          <t>GGLS1, GGLS4</t>
        </is>
      </c>
      <c r="G55" t="inlineStr">
        <is>
          <t>AR</t>
        </is>
      </c>
      <c r="H55" t="inlineStr">
        <is>
          <t>2024-05-14</t>
        </is>
      </c>
      <c r="I55" t="inlineStr">
        <is>
          <t>2029-05-13</t>
        </is>
      </c>
      <c r="J55" t="inlineStr">
        <is>
          <t>Control Union</t>
        </is>
      </c>
      <c r="K55" t="inlineStr">
        <is>
          <t>Valid</t>
        </is>
      </c>
    </row>
    <row r="56">
      <c r="A56" t="inlineStr">
        <is>
          <t>1891713828169711616</t>
        </is>
      </c>
      <c r="B56" t="inlineStr">
        <is>
          <t>DG BIOMASS ENERGY CO., LTD.</t>
        </is>
      </c>
      <c r="C56" t="inlineStr">
        <is>
          <t>Japan</t>
        </is>
      </c>
      <c r="D56" t="inlineStr">
        <is>
          <t>Trader</t>
        </is>
      </c>
      <c r="E56" t="inlineStr">
        <is>
          <t>FIT/FIP</t>
        </is>
      </c>
      <c r="F56" t="inlineStr">
        <is>
          <t>GGLS1, GGLS4</t>
        </is>
      </c>
      <c r="G56" t="inlineStr">
        <is>
          <t>AR</t>
        </is>
      </c>
      <c r="H56" t="inlineStr">
        <is>
          <t>2022-09-01</t>
        </is>
      </c>
      <c r="I56" t="inlineStr">
        <is>
          <t>2027-08-31</t>
        </is>
      </c>
      <c r="J56" t="inlineStr">
        <is>
          <t>Control Union</t>
        </is>
      </c>
      <c r="K56" t="inlineStr">
        <is>
          <t>Valid</t>
        </is>
      </c>
    </row>
    <row r="57">
      <c r="A57" t="inlineStr">
        <is>
          <t>2016411648041943040</t>
        </is>
      </c>
      <c r="B57" t="inlineStr">
        <is>
          <t>DONGAN MANDIRI PERKASA</t>
        </is>
      </c>
      <c r="C57" t="inlineStr">
        <is>
          <t>Indonesia</t>
        </is>
      </c>
      <c r="D57" t="inlineStr">
        <is>
          <t>Trader</t>
        </is>
      </c>
      <c r="E57" t="inlineStr">
        <is>
          <t>FIT/FIP</t>
        </is>
      </c>
      <c r="F57" t="inlineStr">
        <is>
          <t>GGLS1, GGLS4</t>
        </is>
      </c>
      <c r="G57" t="inlineStr">
        <is>
          <t>Cat 5</t>
        </is>
      </c>
      <c r="H57" t="inlineStr">
        <is>
          <t>2026-03-06</t>
        </is>
      </c>
      <c r="I57" t="inlineStr">
        <is>
          <t>2031-03-05</t>
        </is>
      </c>
      <c r="J57" t="inlineStr">
        <is>
          <t>Trans Certification &amp; Inspection SDN. BHD.</t>
        </is>
      </c>
      <c r="K57" t="inlineStr">
        <is>
          <t>Valid</t>
        </is>
      </c>
    </row>
    <row r="58">
      <c r="A58" t="inlineStr">
        <is>
          <t>1883828000298893312</t>
        </is>
      </c>
      <c r="B58" t="inlineStr">
        <is>
          <t>Daichu Corporation (PRJ 880699)</t>
        </is>
      </c>
      <c r="C58" t="inlineStr">
        <is>
          <t>Japan</t>
        </is>
      </c>
      <c r="D58" t="inlineStr">
        <is>
          <t>Trader</t>
        </is>
      </c>
      <c r="E58" t="inlineStr">
        <is>
          <t>FIT/FIP</t>
        </is>
      </c>
      <c r="F58" t="inlineStr">
        <is>
          <t>GGLS1, GGLS4</t>
        </is>
      </c>
      <c r="G58" t="inlineStr">
        <is>
          <t>AR</t>
        </is>
      </c>
      <c r="H58" t="inlineStr">
        <is>
          <t>2021-09-03</t>
        </is>
      </c>
      <c r="I58" t="inlineStr">
        <is>
          <t>2026-09-02</t>
        </is>
      </c>
      <c r="J58" t="inlineStr">
        <is>
          <t>Control Union</t>
        </is>
      </c>
      <c r="K58" t="inlineStr">
        <is>
          <t>Valid</t>
        </is>
      </c>
    </row>
    <row r="59">
      <c r="A59" t="inlineStr">
        <is>
          <t>1882878483885981696</t>
        </is>
      </c>
      <c r="B59" t="inlineStr">
        <is>
          <t>ECO ENERGY ASIA RESOURCES SDN BHD</t>
        </is>
      </c>
      <c r="C59" t="inlineStr">
        <is>
          <t>Malaysia</t>
        </is>
      </c>
      <c r="D59" t="inlineStr">
        <is>
          <t>Biomass producer</t>
        </is>
      </c>
      <c r="E59" t="inlineStr">
        <is>
          <t>FIT/FIP</t>
        </is>
      </c>
      <c r="F59" t="inlineStr">
        <is>
          <t>GGLS1, GGLS4</t>
        </is>
      </c>
      <c r="G59" t="inlineStr">
        <is>
          <t>AR, Cat 5, WB</t>
        </is>
      </c>
      <c r="H59" t="inlineStr">
        <is>
          <t>2024-04-02</t>
        </is>
      </c>
      <c r="I59" t="inlineStr">
        <is>
          <t>2029-04-01</t>
        </is>
      </c>
      <c r="J59" t="inlineStr">
        <is>
          <t>Control Union</t>
        </is>
      </c>
      <c r="K59" t="inlineStr">
        <is>
          <t>Revoked</t>
        </is>
      </c>
    </row>
    <row r="60">
      <c r="A60" t="inlineStr">
        <is>
          <t>2012164696110530560</t>
        </is>
      </c>
      <c r="B60" t="inlineStr">
        <is>
          <t>EFAT GROUP LIMITED</t>
        </is>
      </c>
      <c r="C60" t="inlineStr">
        <is>
          <t>Hong Kong</t>
        </is>
      </c>
      <c r="D60" t="inlineStr">
        <is>
          <t>Biomass producer, Trader</t>
        </is>
      </c>
      <c r="E60" t="inlineStr">
        <is>
          <t>FIT/FIP</t>
        </is>
      </c>
      <c r="F60" t="inlineStr">
        <is>
          <t>GGLS1, GGLS4</t>
        </is>
      </c>
      <c r="G60" t="inlineStr">
        <is>
          <t>AR</t>
        </is>
      </c>
      <c r="H60" t="inlineStr">
        <is>
          <t>2024-07-09</t>
        </is>
      </c>
      <c r="I60" t="inlineStr">
        <is>
          <t>2029-07-08</t>
        </is>
      </c>
      <c r="J60" t="inlineStr">
        <is>
          <t>Control Union</t>
        </is>
      </c>
      <c r="K60" t="inlineStr">
        <is>
          <t>Valid</t>
        </is>
      </c>
    </row>
    <row r="61">
      <c r="A61" t="inlineStr">
        <is>
          <t>1883145466980335616</t>
        </is>
      </c>
      <c r="B61" t="inlineStr">
        <is>
          <t>ENEOS Biomass Power Muroran G.K.</t>
        </is>
      </c>
      <c r="C61" t="inlineStr">
        <is>
          <t>Japan</t>
        </is>
      </c>
      <c r="D61" t="inlineStr">
        <is>
          <t>Power company</t>
        </is>
      </c>
      <c r="E61" t="inlineStr">
        <is>
          <t>FIT/FIP</t>
        </is>
      </c>
      <c r="F61" t="inlineStr">
        <is>
          <t>GGLS1, GGLS4, GGLS6</t>
        </is>
      </c>
      <c r="G61" t="inlineStr">
        <is>
          <t>AR</t>
        </is>
      </c>
      <c r="H61" t="inlineStr">
        <is>
          <t>2024-01-31</t>
        </is>
      </c>
      <c r="I61" t="inlineStr">
        <is>
          <t>2029-01-30</t>
        </is>
      </c>
      <c r="J61" t="inlineStr">
        <is>
          <t>Control Union</t>
        </is>
      </c>
      <c r="K61" t="inlineStr">
        <is>
          <t>Valid</t>
        </is>
      </c>
    </row>
    <row r="62">
      <c r="A62" t="inlineStr">
        <is>
          <t>1883159396062593024</t>
        </is>
      </c>
      <c r="B62" t="inlineStr">
        <is>
          <t>ENEOS Power Corporation</t>
        </is>
      </c>
      <c r="C62" t="inlineStr">
        <is>
          <t>Japan</t>
        </is>
      </c>
      <c r="D62" t="inlineStr">
        <is>
          <t>Trader</t>
        </is>
      </c>
      <c r="E62" t="inlineStr">
        <is>
          <t>FIT/FIP</t>
        </is>
      </c>
      <c r="F62" t="inlineStr">
        <is>
          <t>GGLS1, GGLS4</t>
        </is>
      </c>
      <c r="G62" t="inlineStr">
        <is>
          <t>AR</t>
        </is>
      </c>
      <c r="H62" t="inlineStr">
        <is>
          <t>2024-01-17</t>
        </is>
      </c>
      <c r="I62" t="inlineStr">
        <is>
          <t>2029-01-16</t>
        </is>
      </c>
      <c r="J62" t="inlineStr">
        <is>
          <t>Control Union</t>
        </is>
      </c>
      <c r="K62" t="inlineStr">
        <is>
          <t>Valid</t>
        </is>
      </c>
    </row>
    <row r="63">
      <c r="A63" t="inlineStr">
        <is>
          <t>1883521813149908992</t>
        </is>
      </c>
      <c r="B63" t="inlineStr">
        <is>
          <t>ENERGY VISUAL SDN BHD</t>
        </is>
      </c>
      <c r="C63" t="inlineStr">
        <is>
          <t>Malaysia</t>
        </is>
      </c>
      <c r="D63" t="inlineStr">
        <is>
          <t>First collector</t>
        </is>
      </c>
      <c r="E63" t="inlineStr">
        <is>
          <t>FIT/FIP</t>
        </is>
      </c>
      <c r="F63" t="inlineStr">
        <is>
          <t>GGLS1, GGLS4</t>
        </is>
      </c>
      <c r="G63" t="inlineStr">
        <is>
          <t>AR</t>
        </is>
      </c>
      <c r="H63" t="inlineStr">
        <is>
          <t>2024-08-16</t>
        </is>
      </c>
      <c r="I63" t="inlineStr">
        <is>
          <t>2029-08-15</t>
        </is>
      </c>
      <c r="J63" t="inlineStr">
        <is>
          <t>Control Union</t>
        </is>
      </c>
      <c r="K63" t="inlineStr">
        <is>
          <t>Valid</t>
        </is>
      </c>
    </row>
    <row r="64">
      <c r="A64" t="inlineStr">
        <is>
          <t>1886332028685647872</t>
        </is>
      </c>
      <c r="B64" t="inlineStr">
        <is>
          <t>ERA JAYA PLANTATIONS SDN BHD</t>
        </is>
      </c>
      <c r="C64" t="inlineStr">
        <is>
          <t>Malaysia</t>
        </is>
      </c>
      <c r="D64" t="inlineStr">
        <is>
          <t>First collector, Trader</t>
        </is>
      </c>
      <c r="E64" t="inlineStr">
        <is>
          <t>FIT/FIP</t>
        </is>
      </c>
      <c r="F64" t="inlineStr">
        <is>
          <t>GGLS1, GGLS4</t>
        </is>
      </c>
      <c r="G64" t="inlineStr">
        <is>
          <t>AR</t>
        </is>
      </c>
      <c r="H64" t="inlineStr">
        <is>
          <t>2024-01-07</t>
        </is>
      </c>
      <c r="I64" t="inlineStr">
        <is>
          <t>2029-01-06</t>
        </is>
      </c>
      <c r="J64" t="inlineStr">
        <is>
          <t>Trans Certification &amp; Inspection SDN. BHD.</t>
        </is>
      </c>
      <c r="K64" t="inlineStr">
        <is>
          <t>Valid</t>
        </is>
      </c>
    </row>
    <row r="65">
      <c r="A65" t="inlineStr">
        <is>
          <t>2046874580919779328</t>
        </is>
      </c>
      <c r="B65" t="inlineStr">
        <is>
          <t>EREX CO., LTD. (Erex Nigata (tentative name))</t>
        </is>
      </c>
      <c r="C65" t="inlineStr">
        <is>
          <t>Japan</t>
        </is>
      </c>
      <c r="D65" t="inlineStr">
        <is>
          <t>Power company</t>
        </is>
      </c>
      <c r="E65" t="inlineStr">
        <is>
          <t>FIT/FIP</t>
        </is>
      </c>
      <c r="F65" t="inlineStr">
        <is>
          <t>GGLS1, GGLS4, GGLS6</t>
        </is>
      </c>
      <c r="G65" t="inlineStr">
        <is>
          <t>AR, WB</t>
        </is>
      </c>
      <c r="H65" t="inlineStr">
        <is>
          <t>2026-03-23</t>
        </is>
      </c>
      <c r="I65" t="inlineStr">
        <is>
          <t>2031-03-22</t>
        </is>
      </c>
      <c r="J65" t="inlineStr">
        <is>
          <t>Control Union</t>
        </is>
      </c>
      <c r="K65" t="inlineStr">
        <is>
          <t>Valid</t>
        </is>
      </c>
    </row>
    <row r="66">
      <c r="A66" t="inlineStr">
        <is>
          <t>1883810249299722240</t>
        </is>
      </c>
      <c r="B66" t="inlineStr">
        <is>
          <t>EREX SINGAPORE PTE.LTD.</t>
        </is>
      </c>
      <c r="C66" t="inlineStr">
        <is>
          <t>Singapore</t>
        </is>
      </c>
      <c r="D66" t="inlineStr">
        <is>
          <t>Trader</t>
        </is>
      </c>
      <c r="E66" t="inlineStr">
        <is>
          <t>FIT/FIP</t>
        </is>
      </c>
      <c r="F66" t="inlineStr">
        <is>
          <t>GGLS1, GGLS4</t>
        </is>
      </c>
      <c r="G66" t="inlineStr">
        <is>
          <t>AR</t>
        </is>
      </c>
      <c r="H66" t="inlineStr">
        <is>
          <t>2021-03-02</t>
        </is>
      </c>
      <c r="I66" t="inlineStr">
        <is>
          <t>2026-03-01</t>
        </is>
      </c>
      <c r="J66" t="inlineStr">
        <is>
          <t>Control Union</t>
        </is>
      </c>
      <c r="K66" t="inlineStr">
        <is>
          <t>Expired</t>
        </is>
      </c>
    </row>
    <row r="67">
      <c r="A67" t="inlineStr">
        <is>
          <t>1883810249299722240</t>
        </is>
      </c>
      <c r="B67" t="inlineStr">
        <is>
          <t>EREX SINGAPORE PTE.LTD.</t>
        </is>
      </c>
      <c r="C67" t="inlineStr">
        <is>
          <t>Singapore</t>
        </is>
      </c>
      <c r="D67" t="inlineStr">
        <is>
          <t>Trader</t>
        </is>
      </c>
      <c r="E67" t="inlineStr">
        <is>
          <t>FIT/FIP</t>
        </is>
      </c>
      <c r="F67" t="inlineStr">
        <is>
          <t>GGLS1, GGLS4</t>
        </is>
      </c>
      <c r="G67" t="inlineStr">
        <is>
          <t>Cat 5, WB</t>
        </is>
      </c>
      <c r="H67" t="inlineStr">
        <is>
          <t>2026-03-04</t>
        </is>
      </c>
      <c r="I67" t="inlineStr">
        <is>
          <t>2031-03-03</t>
        </is>
      </c>
      <c r="J67" t="inlineStr">
        <is>
          <t>Control Union</t>
        </is>
      </c>
      <c r="K67" t="inlineStr">
        <is>
          <t>Valid</t>
        </is>
      </c>
    </row>
    <row r="68">
      <c r="A68" t="inlineStr">
        <is>
          <t>2016763544900468736</t>
        </is>
      </c>
      <c r="B68" t="inlineStr">
        <is>
          <t>Electric Power Development Co., Ltd.</t>
        </is>
      </c>
      <c r="C68" t="inlineStr">
        <is>
          <t>Japan</t>
        </is>
      </c>
      <c r="D68" t="inlineStr">
        <is>
          <t>Power company</t>
        </is>
      </c>
      <c r="E68" t="inlineStr">
        <is>
          <t>FIT/FIP</t>
        </is>
      </c>
      <c r="F68" t="inlineStr">
        <is>
          <t>GGLS1, GGLS4, GGLS6</t>
        </is>
      </c>
      <c r="G68" t="inlineStr">
        <is>
          <t>WB</t>
        </is>
      </c>
      <c r="H68" t="inlineStr">
        <is>
          <t>2026-03-06</t>
        </is>
      </c>
      <c r="I68" t="inlineStr">
        <is>
          <t>2031-03-05</t>
        </is>
      </c>
      <c r="J68" t="inlineStr">
        <is>
          <t>Control Union</t>
        </is>
      </c>
      <c r="K68" t="inlineStr">
        <is>
          <t>Valid</t>
        </is>
      </c>
    </row>
    <row r="69">
      <c r="A69" t="inlineStr">
        <is>
          <t>2082775242043817984</t>
        </is>
      </c>
      <c r="B69" t="inlineStr">
        <is>
          <t>Energenix Global (Thailand) Company Limited</t>
        </is>
      </c>
      <c r="C69" t="inlineStr">
        <is>
          <t>Thailand</t>
        </is>
      </c>
      <c r="D69" t="inlineStr">
        <is>
          <t>Trader</t>
        </is>
      </c>
      <c r="E69" t="inlineStr">
        <is>
          <t>FIT/FIP</t>
        </is>
      </c>
      <c r="F69" t="inlineStr">
        <is>
          <t>GGLS1, GGLS4</t>
        </is>
      </c>
      <c r="G69" t="inlineStr">
        <is>
          <t>AR, Cat 5, WB</t>
        </is>
      </c>
      <c r="H69" t="inlineStr">
        <is>
          <t>2026-07-30</t>
        </is>
      </c>
      <c r="I69" t="inlineStr">
        <is>
          <t>2031-07-29</t>
        </is>
      </c>
      <c r="J69" t="inlineStr">
        <is>
          <t>Control Union</t>
        </is>
      </c>
      <c r="K69" t="inlineStr">
        <is>
          <t>Valid</t>
        </is>
      </c>
    </row>
    <row r="70">
      <c r="A70" t="inlineStr">
        <is>
          <t>1884197272468586496</t>
        </is>
      </c>
      <c r="B70" t="inlineStr">
        <is>
          <t>Energia Power Yamaguchi Corp.</t>
        </is>
      </c>
      <c r="C70" t="inlineStr">
        <is>
          <t>Japan</t>
        </is>
      </c>
      <c r="D70" t="inlineStr">
        <is>
          <t>Power company</t>
        </is>
      </c>
      <c r="E70" t="inlineStr">
        <is>
          <t>FIT/FIP</t>
        </is>
      </c>
      <c r="F70" t="inlineStr">
        <is>
          <t>GGLS1, GGLS4, GGLS6</t>
        </is>
      </c>
      <c r="G70" t="inlineStr">
        <is>
          <t>AR</t>
        </is>
      </c>
      <c r="H70" t="inlineStr">
        <is>
          <t>2022-04-24</t>
        </is>
      </c>
      <c r="I70" t="inlineStr">
        <is>
          <t>2027-04-23</t>
        </is>
      </c>
      <c r="J70" t="inlineStr">
        <is>
          <t>Control Union</t>
        </is>
      </c>
      <c r="K70" t="inlineStr">
        <is>
          <t>Valid</t>
        </is>
      </c>
    </row>
    <row r="71">
      <c r="A71" t="inlineStr">
        <is>
          <t>1915337086651596800</t>
        </is>
      </c>
      <c r="B71" t="inlineStr">
        <is>
          <t>FARMTOFUEL B.V</t>
        </is>
      </c>
      <c r="C71" t="inlineStr">
        <is>
          <t>Netherlands</t>
        </is>
      </c>
      <c r="D71" t="inlineStr">
        <is>
          <t>First collector, Trader</t>
        </is>
      </c>
      <c r="E71" t="inlineStr">
        <is>
          <t>FIT/FIP</t>
        </is>
      </c>
      <c r="F71" t="inlineStr">
        <is>
          <t>GGLS1, GGLS4</t>
        </is>
      </c>
      <c r="G71" t="inlineStr">
        <is>
          <t>AR</t>
        </is>
      </c>
      <c r="H71" t="inlineStr">
        <is>
          <t>2025-03-25</t>
        </is>
      </c>
      <c r="I71" t="inlineStr">
        <is>
          <t>2030-03-24</t>
        </is>
      </c>
      <c r="J71" t="inlineStr">
        <is>
          <t>Control Union</t>
        </is>
      </c>
      <c r="K71" t="inlineStr">
        <is>
          <t>Valid</t>
        </is>
      </c>
    </row>
    <row r="72">
      <c r="A72" t="inlineStr">
        <is>
          <t>1884515816087486464</t>
        </is>
      </c>
      <c r="B72" t="inlineStr">
        <is>
          <t>FELCRA JAYA SAMARAHAN SDN BHD</t>
        </is>
      </c>
      <c r="C72" t="inlineStr">
        <is>
          <t>Malaysia</t>
        </is>
      </c>
      <c r="D72" t="inlineStr">
        <is>
          <t>First collector</t>
        </is>
      </c>
      <c r="E72" t="inlineStr">
        <is>
          <t>FIT/FIP</t>
        </is>
      </c>
      <c r="F72" t="inlineStr">
        <is>
          <t>GGLS1, GGLS4</t>
        </is>
      </c>
      <c r="G72" t="inlineStr">
        <is>
          <t>AR</t>
        </is>
      </c>
      <c r="H72" t="inlineStr">
        <is>
          <t>2024-07-31</t>
        </is>
      </c>
      <c r="I72" t="inlineStr">
        <is>
          <t>2029-07-30</t>
        </is>
      </c>
      <c r="J72" t="inlineStr">
        <is>
          <t>Control Union</t>
        </is>
      </c>
      <c r="K72" t="inlineStr">
        <is>
          <t>Valid</t>
        </is>
      </c>
    </row>
    <row r="73">
      <c r="A73" t="inlineStr">
        <is>
          <t>1883530753162084352</t>
        </is>
      </c>
      <c r="B73" t="inlineStr">
        <is>
          <t>FELCRA JAYAPUTRA SDN. BHD.</t>
        </is>
      </c>
      <c r="C73" t="inlineStr">
        <is>
          <t>Malaysia</t>
        </is>
      </c>
      <c r="D73" t="inlineStr">
        <is>
          <t>First collector, Trader</t>
        </is>
      </c>
      <c r="E73" t="inlineStr">
        <is>
          <t>FIT/FIP</t>
        </is>
      </c>
      <c r="F73" t="inlineStr">
        <is>
          <t>GGLS1, GGLS4</t>
        </is>
      </c>
      <c r="G73" t="inlineStr">
        <is>
          <t>AR</t>
        </is>
      </c>
      <c r="H73" t="inlineStr">
        <is>
          <t>2024-07-26</t>
        </is>
      </c>
      <c r="I73" t="inlineStr">
        <is>
          <t>2029-07-25</t>
        </is>
      </c>
      <c r="J73" t="inlineStr">
        <is>
          <t>Control Union</t>
        </is>
      </c>
      <c r="K73" t="inlineStr">
        <is>
          <t>Valid</t>
        </is>
      </c>
    </row>
    <row r="74">
      <c r="A74" t="inlineStr">
        <is>
          <t>1883162496253034496</t>
        </is>
      </c>
      <c r="B74" t="inlineStr">
        <is>
          <t>FGV BULKERS SDN BHD</t>
        </is>
      </c>
      <c r="C74" t="inlineStr">
        <is>
          <t>Malaysia</t>
        </is>
      </c>
      <c r="D74" t="inlineStr">
        <is>
          <t>First collector</t>
        </is>
      </c>
      <c r="E74" t="inlineStr">
        <is>
          <t>FIT/FIP</t>
        </is>
      </c>
      <c r="F74" t="inlineStr">
        <is>
          <t>GGLS1, GGLS4</t>
        </is>
      </c>
      <c r="G74" t="inlineStr">
        <is>
          <t>AR</t>
        </is>
      </c>
      <c r="H74" t="inlineStr">
        <is>
          <t>2024-01-11</t>
        </is>
      </c>
      <c r="I74" t="inlineStr">
        <is>
          <t>2029-01-10</t>
        </is>
      </c>
      <c r="J74" t="inlineStr">
        <is>
          <t>Control Union</t>
        </is>
      </c>
      <c r="K74" t="inlineStr">
        <is>
          <t>Valid</t>
        </is>
      </c>
    </row>
    <row r="75">
      <c r="A75" t="inlineStr">
        <is>
          <t>1883147353397919744</t>
        </is>
      </c>
      <c r="B75" t="inlineStr">
        <is>
          <t>FGV Palm Industries Sdn Bhd</t>
        </is>
      </c>
      <c r="C75" t="inlineStr">
        <is>
          <t>Malaysia</t>
        </is>
      </c>
      <c r="D75" t="inlineStr">
        <is>
          <t>First collector</t>
        </is>
      </c>
      <c r="E75" t="inlineStr">
        <is>
          <t>FIT/FIP</t>
        </is>
      </c>
      <c r="F75" t="inlineStr">
        <is>
          <t>GGLS1, GGLS4</t>
        </is>
      </c>
      <c r="G75" t="inlineStr">
        <is>
          <t>AR</t>
        </is>
      </c>
      <c r="H75" t="inlineStr">
        <is>
          <t>2024-01-26</t>
        </is>
      </c>
      <c r="I75" t="inlineStr">
        <is>
          <t>2029-01-25</t>
        </is>
      </c>
      <c r="J75" t="inlineStr">
        <is>
          <t>Control Union</t>
        </is>
      </c>
      <c r="K75" t="inlineStr">
        <is>
          <t>Valid</t>
        </is>
      </c>
    </row>
    <row r="76">
      <c r="A76" t="inlineStr">
        <is>
          <t>1882879420012691456</t>
        </is>
      </c>
      <c r="B76" t="inlineStr">
        <is>
          <t>FH GREEN RESOURCES SDN BHD</t>
        </is>
      </c>
      <c r="C76" t="inlineStr">
        <is>
          <t>Malaysia</t>
        </is>
      </c>
      <c r="D76" t="inlineStr">
        <is>
          <t>First collector</t>
        </is>
      </c>
      <c r="E76" t="inlineStr">
        <is>
          <t>FIT/FIP</t>
        </is>
      </c>
      <c r="F76" t="inlineStr">
        <is>
          <t>GGLS1, GGLS4</t>
        </is>
      </c>
      <c r="G76" t="inlineStr">
        <is>
          <t>AR</t>
        </is>
      </c>
      <c r="H76" t="inlineStr">
        <is>
          <t>2024-08-29</t>
        </is>
      </c>
      <c r="I76" t="inlineStr">
        <is>
          <t>2029-08-28</t>
        </is>
      </c>
      <c r="J76" t="inlineStr">
        <is>
          <t>Control Union</t>
        </is>
      </c>
      <c r="K76" t="inlineStr">
        <is>
          <t>Valid</t>
        </is>
      </c>
    </row>
    <row r="77">
      <c r="A77" t="inlineStr">
        <is>
          <t>1883543652303634432</t>
        </is>
      </c>
      <c r="B77" t="inlineStr">
        <is>
          <t>FIRST BRE SDN BHD</t>
        </is>
      </c>
      <c r="C77" t="inlineStr">
        <is>
          <t>Malaysia</t>
        </is>
      </c>
      <c r="D77" t="inlineStr">
        <is>
          <t>Trader</t>
        </is>
      </c>
      <c r="E77" t="inlineStr">
        <is>
          <t>FIT/FIP</t>
        </is>
      </c>
      <c r="F77" t="inlineStr">
        <is>
          <t>GGLS1, GGLS4</t>
        </is>
      </c>
      <c r="G77" t="inlineStr">
        <is>
          <t>AR</t>
        </is>
      </c>
      <c r="H77" t="inlineStr">
        <is>
          <t>2024-10-18</t>
        </is>
      </c>
      <c r="I77" t="inlineStr">
        <is>
          <t>2029-10-17</t>
        </is>
      </c>
      <c r="J77" t="inlineStr">
        <is>
          <t>Control Union</t>
        </is>
      </c>
      <c r="K77" t="inlineStr">
        <is>
          <t>Valid</t>
        </is>
      </c>
    </row>
    <row r="78">
      <c r="A78" t="inlineStr">
        <is>
          <t>1882872100994154496</t>
        </is>
      </c>
      <c r="B78" t="inlineStr">
        <is>
          <t>FLAME ASIA RESOURCES PTE. LTD.</t>
        </is>
      </c>
      <c r="C78" t="inlineStr">
        <is>
          <t>Singapore</t>
        </is>
      </c>
      <c r="D78" t="inlineStr">
        <is>
          <t>Trader</t>
        </is>
      </c>
      <c r="E78" t="inlineStr">
        <is>
          <t>FIT/FIP</t>
        </is>
      </c>
      <c r="F78" t="inlineStr">
        <is>
          <t>GGLS1, GGLS4</t>
        </is>
      </c>
      <c r="G78" t="inlineStr">
        <is>
          <t>AR</t>
        </is>
      </c>
      <c r="H78" t="inlineStr">
        <is>
          <t>2024-10-21</t>
        </is>
      </c>
      <c r="I78" t="inlineStr">
        <is>
          <t>2029-10-20</t>
        </is>
      </c>
      <c r="J78" t="inlineStr">
        <is>
          <t>Control Union</t>
        </is>
      </c>
      <c r="K78" t="inlineStr">
        <is>
          <t>Valid</t>
        </is>
      </c>
    </row>
    <row r="79">
      <c r="A79" t="inlineStr">
        <is>
          <t>1882876064900841472</t>
        </is>
      </c>
      <c r="B79" t="inlineStr">
        <is>
          <t>Forest Wood Energy Pte. Ltd.</t>
        </is>
      </c>
      <c r="C79" t="inlineStr">
        <is>
          <t>Singapore</t>
        </is>
      </c>
      <c r="D79" t="inlineStr">
        <is>
          <t>Trader</t>
        </is>
      </c>
      <c r="E79" t="inlineStr">
        <is>
          <t>FIT/FIP</t>
        </is>
      </c>
      <c r="F79" t="inlineStr">
        <is>
          <t>GGLS1, GGLS4</t>
        </is>
      </c>
      <c r="G79" t="inlineStr">
        <is>
          <t>AR, WB</t>
        </is>
      </c>
      <c r="H79" t="inlineStr">
        <is>
          <t>2025-11-04</t>
        </is>
      </c>
      <c r="I79" t="inlineStr">
        <is>
          <t>2030-11-03</t>
        </is>
      </c>
      <c r="J79" t="inlineStr">
        <is>
          <t>PT Carsurin Certiva International</t>
        </is>
      </c>
      <c r="K79" t="inlineStr">
        <is>
          <t>Valid</t>
        </is>
      </c>
    </row>
    <row r="80">
      <c r="A80" t="inlineStr">
        <is>
          <t>1884133860132782080</t>
        </is>
      </c>
      <c r="B80" t="inlineStr">
        <is>
          <t>Fram Renewable Fuels LLC</t>
        </is>
      </c>
      <c r="C80" t="inlineStr">
        <is>
          <t>United States</t>
        </is>
      </c>
      <c r="D80" t="inlineStr">
        <is>
          <t>Biomass producer</t>
        </is>
      </c>
      <c r="E80" t="inlineStr">
        <is>
          <t>SDE++</t>
        </is>
      </c>
      <c r="F80" t="inlineStr">
        <is>
          <t>GGLS1, GGLS4</t>
        </is>
      </c>
      <c r="G80" t="inlineStr">
        <is>
          <t>Cat 5</t>
        </is>
      </c>
      <c r="H80" t="inlineStr">
        <is>
          <t>2023-05-03</t>
        </is>
      </c>
      <c r="I80" t="inlineStr">
        <is>
          <t>2028-05-02</t>
        </is>
      </c>
      <c r="J80" t="inlineStr">
        <is>
          <t>Control Union</t>
        </is>
      </c>
      <c r="K80" t="inlineStr">
        <is>
          <t>Resigned</t>
        </is>
      </c>
    </row>
    <row r="81">
      <c r="A81" t="inlineStr">
        <is>
          <t>1883188901875548160</t>
        </is>
      </c>
      <c r="B81" t="inlineStr">
        <is>
          <t>GBK International Sdn Bhd</t>
        </is>
      </c>
      <c r="C81" t="inlineStr">
        <is>
          <t>Malaysia</t>
        </is>
      </c>
      <c r="D81" t="inlineStr">
        <is>
          <t>First collector</t>
        </is>
      </c>
      <c r="E81" t="inlineStr">
        <is>
          <t>FIT/FIP</t>
        </is>
      </c>
      <c r="F81" t="inlineStr">
        <is>
          <t>GGLS1, GGLS4</t>
        </is>
      </c>
      <c r="G81" t="inlineStr">
        <is>
          <t>AR</t>
        </is>
      </c>
      <c r="H81" t="inlineStr">
        <is>
          <t>2023-11-09</t>
        </is>
      </c>
      <c r="I81" t="inlineStr">
        <is>
          <t>2028-11-08</t>
        </is>
      </c>
      <c r="J81" t="inlineStr">
        <is>
          <t>Control Union</t>
        </is>
      </c>
      <c r="K81" t="inlineStr">
        <is>
          <t>Valid</t>
        </is>
      </c>
    </row>
    <row r="82">
      <c r="A82" t="inlineStr">
        <is>
          <t>2076923887773286400</t>
        </is>
      </c>
      <c r="B82" t="inlineStr">
        <is>
          <t>GLOBAL PAHANG FERTILISER SDN BHD</t>
        </is>
      </c>
      <c r="C82" t="inlineStr">
        <is>
          <t>Malaysia</t>
        </is>
      </c>
      <c r="D82" t="inlineStr">
        <is>
          <t>First collector, Trader</t>
        </is>
      </c>
      <c r="E82" t="inlineStr">
        <is>
          <t>FIT/FIP</t>
        </is>
      </c>
      <c r="F82" t="inlineStr">
        <is>
          <t>GGLS1, GGLS4</t>
        </is>
      </c>
      <c r="G82" t="inlineStr">
        <is>
          <t>Cat 5</t>
        </is>
      </c>
      <c r="H82" t="inlineStr">
        <is>
          <t>2026-07-14</t>
        </is>
      </c>
      <c r="I82" t="inlineStr">
        <is>
          <t>2031-07-13</t>
        </is>
      </c>
      <c r="J82" t="inlineStr">
        <is>
          <t>Trans Certification &amp; Inspection SDN. BHD.</t>
        </is>
      </c>
      <c r="K82" t="inlineStr">
        <is>
          <t>Valid</t>
        </is>
      </c>
    </row>
    <row r="83">
      <c r="A83" t="inlineStr">
        <is>
          <t>1883521418201661440</t>
        </is>
      </c>
      <c r="B83" t="inlineStr">
        <is>
          <t>GREAT ORGANIC SDN. BHD.</t>
        </is>
      </c>
      <c r="C83" t="inlineStr">
        <is>
          <t>Malaysia</t>
        </is>
      </c>
      <c r="D83" t="inlineStr">
        <is>
          <t>First collector, Trader</t>
        </is>
      </c>
      <c r="E83" t="inlineStr">
        <is>
          <t>FIT/FIP</t>
        </is>
      </c>
      <c r="F83" t="inlineStr">
        <is>
          <t>GGLS1, GGLS4</t>
        </is>
      </c>
      <c r="G83" t="inlineStr">
        <is>
          <t>AR, Cat 5</t>
        </is>
      </c>
      <c r="H83" t="inlineStr">
        <is>
          <t>2024-08-19</t>
        </is>
      </c>
      <c r="I83" t="inlineStr">
        <is>
          <t>2029-08-18</t>
        </is>
      </c>
      <c r="J83" t="inlineStr">
        <is>
          <t>Control Union</t>
        </is>
      </c>
      <c r="K83" t="inlineStr">
        <is>
          <t>Valid</t>
        </is>
      </c>
    </row>
    <row r="84">
      <c r="A84" t="inlineStr">
        <is>
          <t>2054489071157248000</t>
        </is>
      </c>
      <c r="B84" t="inlineStr">
        <is>
          <t>GREEN ENERGY RENEWABLE PTE. LTD.</t>
        </is>
      </c>
      <c r="C84" t="inlineStr">
        <is>
          <t>Singapore</t>
        </is>
      </c>
      <c r="D84" t="inlineStr">
        <is>
          <t>Trader</t>
        </is>
      </c>
      <c r="E84" t="inlineStr">
        <is>
          <t>FIT/FIP</t>
        </is>
      </c>
      <c r="F84" t="inlineStr">
        <is>
          <t>GGLS1, GGLS4</t>
        </is>
      </c>
      <c r="G84" t="inlineStr">
        <is>
          <t>AR, Cat 5</t>
        </is>
      </c>
      <c r="H84" t="inlineStr">
        <is>
          <t>2026-04-08</t>
        </is>
      </c>
      <c r="I84" t="inlineStr">
        <is>
          <t>2031-04-07</t>
        </is>
      </c>
      <c r="J84" t="inlineStr">
        <is>
          <t>PT Carsurin Certiva International</t>
        </is>
      </c>
      <c r="K84" t="inlineStr">
        <is>
          <t>Valid</t>
        </is>
      </c>
    </row>
    <row r="85">
      <c r="A85" t="inlineStr">
        <is>
          <t>1924648804456333312</t>
        </is>
      </c>
      <c r="B85" t="inlineStr">
        <is>
          <t>GREEN ENERGY TSU</t>
        </is>
      </c>
      <c r="C85" t="inlineStr">
        <is>
          <t>Japan</t>
        </is>
      </c>
      <c r="D85" t="inlineStr">
        <is>
          <t>Power company</t>
        </is>
      </c>
      <c r="E85" t="inlineStr">
        <is>
          <t>FIT/FIP</t>
        </is>
      </c>
      <c r="F85" t="inlineStr">
        <is>
          <t>GGLS1, GGLS4, GGLS6</t>
        </is>
      </c>
      <c r="G85" t="inlineStr">
        <is>
          <t>AR</t>
        </is>
      </c>
      <c r="H85" t="inlineStr">
        <is>
          <t>2024-12-26</t>
        </is>
      </c>
      <c r="I85" t="inlineStr">
        <is>
          <t>2029-12-25</t>
        </is>
      </c>
      <c r="J85" t="inlineStr">
        <is>
          <t>Control Union</t>
        </is>
      </c>
      <c r="K85" t="inlineStr">
        <is>
          <t>Valid</t>
        </is>
      </c>
    </row>
    <row r="86">
      <c r="A86" t="inlineStr">
        <is>
          <t>1917111215176286208</t>
        </is>
      </c>
      <c r="B86" t="inlineStr">
        <is>
          <t>Green Alpha Bioenergy Pte. Ltd.</t>
        </is>
      </c>
      <c r="C86" t="inlineStr">
        <is>
          <t>Singapore</t>
        </is>
      </c>
      <c r="D86" t="inlineStr">
        <is>
          <t>Trader</t>
        </is>
      </c>
      <c r="E86" t="inlineStr">
        <is>
          <t>SDE++</t>
        </is>
      </c>
      <c r="F86" t="inlineStr">
        <is>
          <t>GGLS1, GGLS4</t>
        </is>
      </c>
      <c r="G86" t="inlineStr">
        <is>
          <t>Cat 5</t>
        </is>
      </c>
      <c r="H86" t="inlineStr">
        <is>
          <t>2023-03-17</t>
        </is>
      </c>
      <c r="I86" t="inlineStr">
        <is>
          <t>2028-03-16</t>
        </is>
      </c>
      <c r="J86" t="inlineStr">
        <is>
          <t>Control Union</t>
        </is>
      </c>
      <c r="K86" t="inlineStr">
        <is>
          <t>Revoked</t>
        </is>
      </c>
    </row>
    <row r="87">
      <c r="A87" t="inlineStr">
        <is>
          <t>1917111215176286208</t>
        </is>
      </c>
      <c r="B87" t="inlineStr">
        <is>
          <t>Green Alpha Bioenergy Pte. Ltd.</t>
        </is>
      </c>
      <c r="C87" t="inlineStr">
        <is>
          <t>Singapore</t>
        </is>
      </c>
      <c r="D87" t="inlineStr">
        <is>
          <t>Trader</t>
        </is>
      </c>
      <c r="E87" t="inlineStr">
        <is>
          <t>FIT/FIP</t>
        </is>
      </c>
      <c r="F87" t="inlineStr">
        <is>
          <t>GGLS1, GGLS4</t>
        </is>
      </c>
      <c r="G87" t="inlineStr">
        <is>
          <t>AR</t>
        </is>
      </c>
      <c r="H87" t="inlineStr">
        <is>
          <t>2023-03-17</t>
        </is>
      </c>
      <c r="I87" t="inlineStr">
        <is>
          <t>2028-03-16</t>
        </is>
      </c>
      <c r="J87" t="inlineStr">
        <is>
          <t>Control Union</t>
        </is>
      </c>
      <c r="K87" t="inlineStr">
        <is>
          <t>Valid</t>
        </is>
      </c>
    </row>
    <row r="88">
      <c r="A88" t="inlineStr">
        <is>
          <t>1899640217061556224</t>
        </is>
      </c>
      <c r="B88" t="inlineStr">
        <is>
          <t>Green Power Development Corporation of Japan</t>
        </is>
      </c>
      <c r="C88" t="inlineStr">
        <is>
          <t>Japan</t>
        </is>
      </c>
      <c r="D88" t="inlineStr">
        <is>
          <t>Trader</t>
        </is>
      </c>
      <c r="E88" t="inlineStr">
        <is>
          <t>FIT/FIP</t>
        </is>
      </c>
      <c r="F88" t="inlineStr">
        <is>
          <t>GGLS1, GGLS4</t>
        </is>
      </c>
      <c r="G88" t="inlineStr">
        <is>
          <t>AR</t>
        </is>
      </c>
      <c r="H88" t="inlineStr">
        <is>
          <t>2025-03-07</t>
        </is>
      </c>
      <c r="I88" t="inlineStr">
        <is>
          <t>2030-03-06</t>
        </is>
      </c>
      <c r="J88" t="inlineStr">
        <is>
          <t>Control Union</t>
        </is>
      </c>
      <c r="K88" t="inlineStr">
        <is>
          <t>Valid</t>
        </is>
      </c>
    </row>
    <row r="89">
      <c r="A89" t="inlineStr">
        <is>
          <t>2079861983913443328</t>
        </is>
      </c>
      <c r="B89" t="inlineStr">
        <is>
          <t>Green River Panels (Thailand) Co., Ltd.</t>
        </is>
      </c>
      <c r="C89" t="inlineStr">
        <is>
          <t>Thailand</t>
        </is>
      </c>
      <c r="D89" t="inlineStr">
        <is>
          <t>Biomass producer</t>
        </is>
      </c>
      <c r="E89" t="inlineStr">
        <is>
          <t>FIT/FIP</t>
        </is>
      </c>
      <c r="F89" t="inlineStr">
        <is>
          <t>GGLS1, GGLS4</t>
        </is>
      </c>
      <c r="G89" t="inlineStr">
        <is>
          <t>Cat 5, WB</t>
        </is>
      </c>
      <c r="H89" t="inlineStr">
        <is>
          <t>2026-06-26</t>
        </is>
      </c>
      <c r="I89" t="inlineStr">
        <is>
          <t>2031-06-25</t>
        </is>
      </c>
      <c r="J89" t="inlineStr">
        <is>
          <t>Control Union</t>
        </is>
      </c>
      <c r="K89" t="inlineStr">
        <is>
          <t>Valid</t>
        </is>
      </c>
    </row>
    <row r="90">
      <c r="A90" t="inlineStr">
        <is>
          <t>1883807381490499584</t>
        </is>
      </c>
      <c r="B90" t="inlineStr">
        <is>
          <t>HANWA CO., LTD. Energy Department 2, Renewable Energy Sector</t>
        </is>
      </c>
      <c r="C90" t="inlineStr">
        <is>
          <t>Japan</t>
        </is>
      </c>
      <c r="D90" t="inlineStr">
        <is>
          <t>Trader</t>
        </is>
      </c>
      <c r="E90" t="inlineStr">
        <is>
          <t>FIT/FIP</t>
        </is>
      </c>
      <c r="F90" t="inlineStr">
        <is>
          <t>GGLS1, GGLS4</t>
        </is>
      </c>
      <c r="G90" t="inlineStr">
        <is>
          <t>AR, WB</t>
        </is>
      </c>
      <c r="H90" t="inlineStr">
        <is>
          <t>2025-04-24</t>
        </is>
      </c>
      <c r="I90" t="inlineStr">
        <is>
          <t>2030-04-23</t>
        </is>
      </c>
      <c r="J90" t="inlineStr">
        <is>
          <t>Control Union</t>
        </is>
      </c>
      <c r="K90" t="inlineStr">
        <is>
          <t>Valid</t>
        </is>
      </c>
    </row>
    <row r="91">
      <c r="A91" t="inlineStr">
        <is>
          <t>1886338001991106560</t>
        </is>
      </c>
      <c r="B91" t="inlineStr">
        <is>
          <t>HI TECH GLOBAL SDN BHD</t>
        </is>
      </c>
      <c r="C91" t="inlineStr">
        <is>
          <t>Malaysia</t>
        </is>
      </c>
      <c r="D91" t="inlineStr">
        <is>
          <t>First collector, Trader</t>
        </is>
      </c>
      <c r="E91" t="inlineStr">
        <is>
          <t>FIT/FIP</t>
        </is>
      </c>
      <c r="F91" t="inlineStr">
        <is>
          <t>GGLS1, GGLS4</t>
        </is>
      </c>
      <c r="G91" t="inlineStr">
        <is>
          <t>AR</t>
        </is>
      </c>
      <c r="H91" t="inlineStr">
        <is>
          <t>2023-12-29</t>
        </is>
      </c>
      <c r="I91" t="inlineStr">
        <is>
          <t>2028-12-28</t>
        </is>
      </c>
      <c r="J91" t="inlineStr">
        <is>
          <t>Trans Certification &amp; Inspection SDN. BHD.</t>
        </is>
      </c>
      <c r="K91" t="inlineStr">
        <is>
          <t>Valid</t>
        </is>
      </c>
    </row>
    <row r="92">
      <c r="A92" t="inlineStr">
        <is>
          <t>1882868850362417152</t>
        </is>
      </c>
      <c r="B92" t="inlineStr">
        <is>
          <t>HILL CITY RESOURCES SDN BHD</t>
        </is>
      </c>
      <c r="C92" t="inlineStr">
        <is>
          <t>Malaysia</t>
        </is>
      </c>
      <c r="D92" t="inlineStr">
        <is>
          <t>First collector</t>
        </is>
      </c>
      <c r="E92" t="inlineStr">
        <is>
          <t>FIT/FIP</t>
        </is>
      </c>
      <c r="F92" t="inlineStr">
        <is>
          <t>GGLS1, GGLS4</t>
        </is>
      </c>
      <c r="G92" t="inlineStr">
        <is>
          <t>AR</t>
        </is>
      </c>
      <c r="H92" t="inlineStr">
        <is>
          <t>2024-04-19</t>
        </is>
      </c>
      <c r="I92" t="inlineStr">
        <is>
          <t>2029-04-18</t>
        </is>
      </c>
      <c r="J92" t="inlineStr">
        <is>
          <t>Control Union</t>
        </is>
      </c>
      <c r="K92" t="inlineStr">
        <is>
          <t>Valid</t>
        </is>
      </c>
    </row>
    <row r="93">
      <c r="A93" t="inlineStr">
        <is>
          <t>1925432709417533440</t>
        </is>
      </c>
      <c r="B93" t="inlineStr">
        <is>
          <t>HIROHATA BIOMASS POWER CO.,LTD.</t>
        </is>
      </c>
      <c r="C93" t="inlineStr">
        <is>
          <t>Japan</t>
        </is>
      </c>
      <c r="D93" t="inlineStr">
        <is>
          <t>Power company</t>
        </is>
      </c>
      <c r="E93" t="inlineStr">
        <is>
          <t>FIT/FIP</t>
        </is>
      </c>
      <c r="F93" t="inlineStr">
        <is>
          <t>GGLS1, GGLS4, GGLS6</t>
        </is>
      </c>
      <c r="G93" t="inlineStr">
        <is>
          <t>AR</t>
        </is>
      </c>
      <c r="H93" t="inlineStr">
        <is>
          <t>2025-09-29</t>
        </is>
      </c>
      <c r="I93" t="inlineStr">
        <is>
          <t>2030-09-28</t>
        </is>
      </c>
      <c r="J93" t="inlineStr">
        <is>
          <t>Control Union</t>
        </is>
      </c>
      <c r="K93" t="inlineStr">
        <is>
          <t>Valid</t>
        </is>
      </c>
    </row>
    <row r="94">
      <c r="A94" t="inlineStr">
        <is>
          <t>1883528244423032832</t>
        </is>
      </c>
      <c r="B94" t="inlineStr">
        <is>
          <t>HL OIL PALM SDN. BHD.</t>
        </is>
      </c>
      <c r="C94" t="inlineStr">
        <is>
          <t>Malaysia</t>
        </is>
      </c>
      <c r="D94" t="inlineStr">
        <is>
          <t>First collector</t>
        </is>
      </c>
      <c r="E94" t="inlineStr">
        <is>
          <t>FIT/FIP</t>
        </is>
      </c>
      <c r="F94" t="inlineStr">
        <is>
          <t>GGLS1, GGLS4</t>
        </is>
      </c>
      <c r="G94" t="inlineStr">
        <is>
          <t>AR</t>
        </is>
      </c>
      <c r="H94" t="inlineStr">
        <is>
          <t>2024-07-31</t>
        </is>
      </c>
      <c r="I94" t="inlineStr">
        <is>
          <t>2029-07-30</t>
        </is>
      </c>
      <c r="J94" t="inlineStr">
        <is>
          <t>Control Union</t>
        </is>
      </c>
      <c r="K94" t="inlineStr">
        <is>
          <t>Valid</t>
        </is>
      </c>
    </row>
    <row r="95">
      <c r="A95" t="inlineStr">
        <is>
          <t>1884146426808631296</t>
        </is>
      </c>
      <c r="B95" t="inlineStr">
        <is>
          <t>HOANG DAI VUONG LIMITED COMPANY</t>
        </is>
      </c>
      <c r="C95" t="inlineStr">
        <is>
          <t>Vietnam</t>
        </is>
      </c>
      <c r="D95" t="inlineStr">
        <is>
          <t>Trader</t>
        </is>
      </c>
      <c r="E95" t="inlineStr">
        <is>
          <t>SDE++</t>
        </is>
      </c>
      <c r="F95" t="inlineStr">
        <is>
          <t>GGLS1, GGLS4</t>
        </is>
      </c>
      <c r="G95" t="inlineStr">
        <is>
          <t>Cat 5</t>
        </is>
      </c>
      <c r="H95" t="inlineStr">
        <is>
          <t>2022-12-09</t>
        </is>
      </c>
      <c r="I95" t="inlineStr">
        <is>
          <t>2027-12-08</t>
        </is>
      </c>
      <c r="J95" t="inlineStr">
        <is>
          <t>Control Union</t>
        </is>
      </c>
      <c r="K95" t="inlineStr">
        <is>
          <t>Valid</t>
        </is>
      </c>
    </row>
    <row r="96">
      <c r="A96" t="inlineStr">
        <is>
          <t>1884146426808631296</t>
        </is>
      </c>
      <c r="B96" t="inlineStr">
        <is>
          <t>HOANG DAI VUONG LIMITED COMPANY</t>
        </is>
      </c>
      <c r="C96" t="inlineStr">
        <is>
          <t>Vietnam</t>
        </is>
      </c>
      <c r="D96" t="inlineStr">
        <is>
          <t>Trader</t>
        </is>
      </c>
      <c r="E96" t="inlineStr">
        <is>
          <t>FIT/FIP</t>
        </is>
      </c>
      <c r="F96" t="inlineStr">
        <is>
          <t>GGLS1, GGLS4</t>
        </is>
      </c>
      <c r="G96" t="inlineStr">
        <is>
          <t>AR, WB</t>
        </is>
      </c>
      <c r="H96" t="inlineStr">
        <is>
          <t>2022-12-09</t>
        </is>
      </c>
      <c r="I96" t="inlineStr">
        <is>
          <t>2027-12-08</t>
        </is>
      </c>
      <c r="J96" t="inlineStr">
        <is>
          <t>Control Union</t>
        </is>
      </c>
      <c r="K96" t="inlineStr">
        <is>
          <t>Valid</t>
        </is>
      </c>
    </row>
    <row r="97">
      <c r="A97" t="inlineStr">
        <is>
          <t>1883191373436289024</t>
        </is>
      </c>
      <c r="B97" t="inlineStr">
        <is>
          <t>HOONG CHAN TRADING &amp; TRANSPORT SDN BHD</t>
        </is>
      </c>
      <c r="C97" t="inlineStr">
        <is>
          <t>Malaysia</t>
        </is>
      </c>
      <c r="D97" t="inlineStr">
        <is>
          <t>First collector</t>
        </is>
      </c>
      <c r="E97" t="inlineStr">
        <is>
          <t>FIT/FIP</t>
        </is>
      </c>
      <c r="F97" t="inlineStr">
        <is>
          <t>GGLS1, GGLS4</t>
        </is>
      </c>
      <c r="G97" t="inlineStr">
        <is>
          <t>AR</t>
        </is>
      </c>
      <c r="H97" t="inlineStr">
        <is>
          <t>2023-10-20</t>
        </is>
      </c>
      <c r="I97" t="inlineStr">
        <is>
          <t>2028-10-19</t>
        </is>
      </c>
      <c r="J97" t="inlineStr">
        <is>
          <t>Control Union</t>
        </is>
      </c>
      <c r="K97" t="inlineStr">
        <is>
          <t>Valid</t>
        </is>
      </c>
    </row>
    <row r="98">
      <c r="A98" t="inlineStr">
        <is>
          <t>1883130165949628416</t>
        </is>
      </c>
      <c r="B98" t="inlineStr">
        <is>
          <t>HSIHOU ENTERPRISE (M) SDN BHD</t>
        </is>
      </c>
      <c r="C98" t="inlineStr">
        <is>
          <t>Malaysia</t>
        </is>
      </c>
      <c r="D98" t="inlineStr">
        <is>
          <t>Biomass producer, Trader</t>
        </is>
      </c>
      <c r="E98" t="inlineStr">
        <is>
          <t>FIT/FIP</t>
        </is>
      </c>
      <c r="F98" t="inlineStr">
        <is>
          <t>GGLS1, GGLS4</t>
        </is>
      </c>
      <c r="G98" t="inlineStr">
        <is>
          <t>AR, Cat 5, WB</t>
        </is>
      </c>
      <c r="H98" t="inlineStr">
        <is>
          <t>2024-02-23</t>
        </is>
      </c>
      <c r="I98" t="inlineStr">
        <is>
          <t>2029-02-22</t>
        </is>
      </c>
      <c r="J98" t="inlineStr">
        <is>
          <t>Control Union</t>
        </is>
      </c>
      <c r="K98" t="inlineStr">
        <is>
          <t>Valid</t>
        </is>
      </c>
    </row>
    <row r="99">
      <c r="A99" t="inlineStr">
        <is>
          <t>1883193410991423488</t>
        </is>
      </c>
      <c r="B99" t="inlineStr">
        <is>
          <t>HUMAN &amp; ECO ENERGY RESOURCES DEV''T (M) SDN BHD</t>
        </is>
      </c>
      <c r="C99" t="inlineStr">
        <is>
          <t>Malaysia</t>
        </is>
      </c>
      <c r="D99" t="inlineStr">
        <is>
          <t>Trader</t>
        </is>
      </c>
      <c r="E99" t="inlineStr">
        <is>
          <t>FIT/FIP</t>
        </is>
      </c>
      <c r="F99" t="inlineStr">
        <is>
          <t>GGLS1, GGLS4</t>
        </is>
      </c>
      <c r="G99" t="inlineStr">
        <is>
          <t>AR</t>
        </is>
      </c>
      <c r="H99" t="inlineStr">
        <is>
          <t>2023-09-26</t>
        </is>
      </c>
      <c r="I99" t="inlineStr">
        <is>
          <t>2028-09-25</t>
        </is>
      </c>
      <c r="J99" t="inlineStr">
        <is>
          <t>Control Union</t>
        </is>
      </c>
      <c r="K99" t="inlineStr">
        <is>
          <t>Valid</t>
        </is>
      </c>
    </row>
    <row r="100">
      <c r="A100" t="inlineStr">
        <is>
          <t>1932613566142087168</t>
        </is>
      </c>
      <c r="B100" t="inlineStr">
        <is>
          <t>HYUGA BIOMASS POWER CO., LTD.</t>
        </is>
      </c>
      <c r="C100" t="inlineStr">
        <is>
          <t>Japan</t>
        </is>
      </c>
      <c r="D100" t="inlineStr">
        <is>
          <t>Power company</t>
        </is>
      </c>
      <c r="E100" t="inlineStr">
        <is>
          <t>FIT/FIP</t>
        </is>
      </c>
      <c r="F100" t="inlineStr">
        <is>
          <t>GGLS1, GGLS4, GGLS6</t>
        </is>
      </c>
      <c r="G100" t="inlineStr">
        <is>
          <t>AR, WB</t>
        </is>
      </c>
      <c r="H100" t="inlineStr">
        <is>
          <t>2025-05-22</t>
        </is>
      </c>
      <c r="I100" t="inlineStr">
        <is>
          <t>2030-05-21</t>
        </is>
      </c>
      <c r="J100" t="inlineStr">
        <is>
          <t>Control Union</t>
        </is>
      </c>
      <c r="K100" t="inlineStr">
        <is>
          <t>Valid</t>
        </is>
      </c>
    </row>
    <row r="101">
      <c r="A101" t="inlineStr">
        <is>
          <t>1884158715993522176</t>
        </is>
      </c>
      <c r="B101" t="inlineStr">
        <is>
          <t>Hayashiroku Co., Ltd.</t>
        </is>
      </c>
      <c r="C101" t="inlineStr">
        <is>
          <t>Japan</t>
        </is>
      </c>
      <c r="D101" t="inlineStr">
        <is>
          <t>Trader</t>
        </is>
      </c>
      <c r="E101" t="inlineStr">
        <is>
          <t>FIT/FIP</t>
        </is>
      </c>
      <c r="F101" t="inlineStr">
        <is>
          <t>GGLS1, GGLS4</t>
        </is>
      </c>
      <c r="G101" t="inlineStr">
        <is>
          <t>AR</t>
        </is>
      </c>
      <c r="H101" t="inlineStr">
        <is>
          <t>2022-11-02</t>
        </is>
      </c>
      <c r="I101" t="inlineStr">
        <is>
          <t>2027-11-01</t>
        </is>
      </c>
      <c r="J101" t="inlineStr">
        <is>
          <t>Control Union</t>
        </is>
      </c>
      <c r="K101" t="inlineStr">
        <is>
          <t>Valid</t>
        </is>
      </c>
    </row>
    <row r="102">
      <c r="A102" t="inlineStr">
        <is>
          <t>2067754504337489920</t>
        </is>
      </c>
      <c r="B102" t="inlineStr">
        <is>
          <t>Hibikinada Power Station Co.,Ltd.</t>
        </is>
      </c>
      <c r="C102" t="inlineStr">
        <is>
          <t>Japan</t>
        </is>
      </c>
      <c r="D102" t="inlineStr">
        <is>
          <t>Power company</t>
        </is>
      </c>
      <c r="E102" t="inlineStr">
        <is>
          <t>FIT/FIP</t>
        </is>
      </c>
      <c r="F102" t="inlineStr">
        <is>
          <t>GGLS1, GGLS4, GGLS6</t>
        </is>
      </c>
      <c r="G102" t="inlineStr">
        <is>
          <t>AR, WB</t>
        </is>
      </c>
      <c r="H102" t="inlineStr">
        <is>
          <t>2025-12-24</t>
        </is>
      </c>
      <c r="I102" t="inlineStr">
        <is>
          <t>2030-12-23</t>
        </is>
      </c>
      <c r="J102" t="inlineStr">
        <is>
          <t>Control Union</t>
        </is>
      </c>
      <c r="K102" t="inlineStr">
        <is>
          <t>Valid</t>
        </is>
      </c>
    </row>
    <row r="103">
      <c r="A103" t="inlineStr">
        <is>
          <t>2003297361522065408</t>
        </is>
      </c>
      <c r="B103" t="inlineStr">
        <is>
          <t>Hineni Hijau Energy Pte Ltd</t>
        </is>
      </c>
      <c r="C103" t="inlineStr">
        <is>
          <t>Singapore</t>
        </is>
      </c>
      <c r="D103" t="inlineStr">
        <is>
          <t>Trader</t>
        </is>
      </c>
      <c r="E103" t="inlineStr">
        <is>
          <t>FIT/FIP</t>
        </is>
      </c>
      <c r="F103" t="inlineStr">
        <is>
          <t>GGLS1, GGLS4</t>
        </is>
      </c>
      <c r="G103" t="inlineStr">
        <is>
          <t>Cat 1, Cat 2, Cat 3, Cat 4, Cat 5</t>
        </is>
      </c>
      <c r="H103" t="inlineStr">
        <is>
          <t>2025-12-29</t>
        </is>
      </c>
      <c r="I103" t="inlineStr">
        <is>
          <t>2030-12-28</t>
        </is>
      </c>
      <c r="J103" t="inlineStr">
        <is>
          <t>DoubleHelix</t>
        </is>
      </c>
      <c r="K103" t="inlineStr">
        <is>
          <t>Valid</t>
        </is>
      </c>
    </row>
    <row r="104">
      <c r="A104" t="inlineStr">
        <is>
          <t>1962819794134630400</t>
        </is>
      </c>
      <c r="B104" t="inlineStr">
        <is>
          <t>Holocene Global S.L.</t>
        </is>
      </c>
      <c r="C104" t="inlineStr">
        <is>
          <t>Spain</t>
        </is>
      </c>
      <c r="D104" t="inlineStr">
        <is>
          <t>Trader</t>
        </is>
      </c>
      <c r="E104" t="inlineStr">
        <is>
          <t>FIT/FIP</t>
        </is>
      </c>
      <c r="F104" t="inlineStr">
        <is>
          <t>GGLS1, GGLS4</t>
        </is>
      </c>
      <c r="G104" t="inlineStr">
        <is>
          <t>AR</t>
        </is>
      </c>
      <c r="H104" t="inlineStr">
        <is>
          <t>2025-09-11</t>
        </is>
      </c>
      <c r="I104" t="inlineStr">
        <is>
          <t>2030-09-10</t>
        </is>
      </c>
      <c r="J104" t="inlineStr">
        <is>
          <t>BM Certification</t>
        </is>
      </c>
      <c r="K104" t="inlineStr">
        <is>
          <t>Valid</t>
        </is>
      </c>
    </row>
    <row r="105">
      <c r="A105" t="inlineStr">
        <is>
          <t>1884149181254205440</t>
        </is>
      </c>
      <c r="B105" t="inlineStr">
        <is>
          <t>ITOCHU Corporation</t>
        </is>
      </c>
      <c r="C105" t="inlineStr">
        <is>
          <t>Japan</t>
        </is>
      </c>
      <c r="D105" t="inlineStr">
        <is>
          <t>Trader</t>
        </is>
      </c>
      <c r="E105" t="inlineStr">
        <is>
          <t>FIT/FIP</t>
        </is>
      </c>
      <c r="F105" t="inlineStr">
        <is>
          <t>GGLS1, GGLS4</t>
        </is>
      </c>
      <c r="G105" t="inlineStr">
        <is>
          <t>AR, WB</t>
        </is>
      </c>
      <c r="H105" t="inlineStr">
        <is>
          <t>2022-11-22</t>
        </is>
      </c>
      <c r="I105" t="inlineStr">
        <is>
          <t>2027-11-21</t>
        </is>
      </c>
      <c r="J105" t="inlineStr">
        <is>
          <t>Control Union</t>
        </is>
      </c>
      <c r="K105" t="inlineStr">
        <is>
          <t>Valid</t>
        </is>
      </c>
    </row>
    <row r="106">
      <c r="A106" t="inlineStr">
        <is>
          <t>1883136093373595648</t>
        </is>
      </c>
      <c r="B106" t="inlineStr">
        <is>
          <t>Idemitsu Kosan Co., Ltd.</t>
        </is>
      </c>
      <c r="C106" t="inlineStr">
        <is>
          <t>Japan</t>
        </is>
      </c>
      <c r="D106" t="inlineStr">
        <is>
          <t>Power company</t>
        </is>
      </c>
      <c r="E106" t="inlineStr">
        <is>
          <t>FIT/FIP</t>
        </is>
      </c>
      <c r="F106" t="inlineStr">
        <is>
          <t>GGLS1, GGLS4, GGLS6</t>
        </is>
      </c>
      <c r="G106" t="inlineStr">
        <is>
          <t>AR</t>
        </is>
      </c>
      <c r="H106" t="inlineStr">
        <is>
          <t>2024-02-08</t>
        </is>
      </c>
      <c r="I106" t="inlineStr">
        <is>
          <t>2029-02-07</t>
        </is>
      </c>
      <c r="J106" t="inlineStr">
        <is>
          <t>Control Union</t>
        </is>
      </c>
      <c r="K106" t="inlineStr">
        <is>
          <t>Valid</t>
        </is>
      </c>
    </row>
    <row r="107">
      <c r="A107" t="inlineStr">
        <is>
          <t>1882895636378943488</t>
        </is>
      </c>
      <c r="B107" t="inlineStr">
        <is>
          <t>Inabata &amp; Co., Ltd.</t>
        </is>
      </c>
      <c r="C107" t="inlineStr">
        <is>
          <t>Japan</t>
        </is>
      </c>
      <c r="D107" t="inlineStr">
        <is>
          <t>Trader</t>
        </is>
      </c>
      <c r="E107" t="inlineStr">
        <is>
          <t>FIT/FIP</t>
        </is>
      </c>
      <c r="F107" t="inlineStr">
        <is>
          <t>GGLS1, GGLS4</t>
        </is>
      </c>
      <c r="G107" t="inlineStr">
        <is>
          <t>AR</t>
        </is>
      </c>
      <c r="H107" t="inlineStr">
        <is>
          <t>2024-03-12</t>
        </is>
      </c>
      <c r="I107" t="inlineStr">
        <is>
          <t>2029-03-11</t>
        </is>
      </c>
      <c r="J107" t="inlineStr">
        <is>
          <t>Control Union</t>
        </is>
      </c>
      <c r="K107" t="inlineStr">
        <is>
          <t>Valid</t>
        </is>
      </c>
    </row>
    <row r="108">
      <c r="A108" t="inlineStr">
        <is>
          <t>2036326699901124608</t>
        </is>
      </c>
      <c r="B108" t="inlineStr">
        <is>
          <t>Ishikari Biomass Power GK</t>
        </is>
      </c>
      <c r="C108" t="inlineStr">
        <is>
          <t>Japan</t>
        </is>
      </c>
      <c r="D108" t="inlineStr">
        <is>
          <t>Power company</t>
        </is>
      </c>
      <c r="E108" t="inlineStr">
        <is>
          <t>FIT/FIP</t>
        </is>
      </c>
      <c r="F108" t="inlineStr">
        <is>
          <t>GGLS1, GGLS4, GGLS6</t>
        </is>
      </c>
      <c r="G108" t="inlineStr">
        <is>
          <t>AR, WB</t>
        </is>
      </c>
      <c r="H108" t="inlineStr">
        <is>
          <t>2026-03-17</t>
        </is>
      </c>
      <c r="I108" t="inlineStr">
        <is>
          <t>2031-03-16</t>
        </is>
      </c>
      <c r="J108" t="inlineStr">
        <is>
          <t>Control Union</t>
        </is>
      </c>
      <c r="K108" t="inlineStr">
        <is>
          <t>Valid</t>
        </is>
      </c>
    </row>
    <row r="109">
      <c r="A109" t="inlineStr">
        <is>
          <t>1883138427289862144</t>
        </is>
      </c>
      <c r="B109" t="inlineStr">
        <is>
          <t>Ishinomaki Hibarino Biomass Energy G.K.</t>
        </is>
      </c>
      <c r="C109" t="inlineStr">
        <is>
          <t>Japan</t>
        </is>
      </c>
      <c r="D109" t="inlineStr">
        <is>
          <t>Power company</t>
        </is>
      </c>
      <c r="E109" t="inlineStr">
        <is>
          <t>FIT/FIP</t>
        </is>
      </c>
      <c r="F109" t="inlineStr">
        <is>
          <t>GGLS1, GGLS4, GGLS6</t>
        </is>
      </c>
      <c r="G109" t="inlineStr">
        <is>
          <t>AR</t>
        </is>
      </c>
      <c r="H109" t="inlineStr">
        <is>
          <t>2024-02-08</t>
        </is>
      </c>
      <c r="I109" t="inlineStr">
        <is>
          <t>2029-02-07</t>
        </is>
      </c>
      <c r="J109" t="inlineStr">
        <is>
          <t>Control Union</t>
        </is>
      </c>
      <c r="K109" t="inlineStr">
        <is>
          <t>Valid</t>
        </is>
      </c>
    </row>
    <row r="110">
      <c r="A110" t="inlineStr">
        <is>
          <t>1884147209746776064</t>
        </is>
      </c>
      <c r="B110" t="inlineStr">
        <is>
          <t>Itochu Enex Co., Ltd.</t>
        </is>
      </c>
      <c r="C110" t="inlineStr">
        <is>
          <t>Japan</t>
        </is>
      </c>
      <c r="D110" t="inlineStr">
        <is>
          <t>Trader</t>
        </is>
      </c>
      <c r="E110" t="inlineStr">
        <is>
          <t>FIT/FIP</t>
        </is>
      </c>
      <c r="F110" t="inlineStr">
        <is>
          <t>GGLS1, GGLS4</t>
        </is>
      </c>
      <c r="G110" t="inlineStr">
        <is>
          <t>AR</t>
        </is>
      </c>
      <c r="H110" t="inlineStr">
        <is>
          <t>2022-12-08</t>
        </is>
      </c>
      <c r="I110" t="inlineStr">
        <is>
          <t>2027-12-07</t>
        </is>
      </c>
      <c r="J110" t="inlineStr">
        <is>
          <t>Control Union</t>
        </is>
      </c>
      <c r="K110" t="inlineStr">
        <is>
          <t>Valid</t>
        </is>
      </c>
    </row>
    <row r="111">
      <c r="A111" t="inlineStr">
        <is>
          <t>1883840750681063424</t>
        </is>
      </c>
      <c r="B111" t="inlineStr">
        <is>
          <t>Iwatani Corporation</t>
        </is>
      </c>
      <c r="C111" t="inlineStr">
        <is>
          <t>Japan</t>
        </is>
      </c>
      <c r="D111" t="inlineStr">
        <is>
          <t>Trader</t>
        </is>
      </c>
      <c r="E111" t="inlineStr">
        <is>
          <t>FIT/FIP</t>
        </is>
      </c>
      <c r="F111" t="inlineStr">
        <is>
          <t>GGLS1, GGLS4</t>
        </is>
      </c>
      <c r="G111" t="inlineStr">
        <is>
          <t>AR</t>
        </is>
      </c>
      <c r="H111" t="inlineStr">
        <is>
          <t>2021-12-03</t>
        </is>
      </c>
      <c r="I111" t="inlineStr">
        <is>
          <t>2026-12-02</t>
        </is>
      </c>
      <c r="J111" t="inlineStr">
        <is>
          <t>Control Union</t>
        </is>
      </c>
      <c r="K111" t="inlineStr">
        <is>
          <t>Valid</t>
        </is>
      </c>
    </row>
    <row r="112">
      <c r="A112" t="inlineStr">
        <is>
          <t>1884180860110897152</t>
        </is>
      </c>
      <c r="B112" t="inlineStr">
        <is>
          <t>J-Bridge Materials Co Ltd</t>
        </is>
      </c>
      <c r="C112" t="inlineStr">
        <is>
          <t>Japan</t>
        </is>
      </c>
      <c r="D112" t="inlineStr">
        <is>
          <t>Trader</t>
        </is>
      </c>
      <c r="E112" t="inlineStr">
        <is>
          <t>FIT/FIP</t>
        </is>
      </c>
      <c r="F112" t="inlineStr">
        <is>
          <t>GGLS1, GGLS4</t>
        </is>
      </c>
      <c r="G112" t="inlineStr">
        <is>
          <t>AR</t>
        </is>
      </c>
      <c r="H112" t="inlineStr">
        <is>
          <t>2022-08-20</t>
        </is>
      </c>
      <c r="I112" t="inlineStr">
        <is>
          <t>2027-08-19</t>
        </is>
      </c>
      <c r="J112" t="inlineStr">
        <is>
          <t>Control Union</t>
        </is>
      </c>
      <c r="K112" t="inlineStr">
        <is>
          <t>Valid</t>
        </is>
      </c>
    </row>
    <row r="113">
      <c r="A113" t="inlineStr">
        <is>
          <t>1884175041617199104</t>
        </is>
      </c>
      <c r="B113" t="inlineStr">
        <is>
          <t>JAPAN PULP AND PAPER CO., LTD.</t>
        </is>
      </c>
      <c r="C113" t="inlineStr">
        <is>
          <t>Japan</t>
        </is>
      </c>
      <c r="D113" t="inlineStr">
        <is>
          <t>Trader</t>
        </is>
      </c>
      <c r="E113" t="inlineStr">
        <is>
          <t>FIT/FIP</t>
        </is>
      </c>
      <c r="F113" t="inlineStr">
        <is>
          <t>GGLS1, GGLS4</t>
        </is>
      </c>
      <c r="G113" t="inlineStr">
        <is>
          <t>AR</t>
        </is>
      </c>
      <c r="H113" t="inlineStr">
        <is>
          <t>2022-02-14</t>
        </is>
      </c>
      <c r="I113" t="inlineStr">
        <is>
          <t>2027-02-13</t>
        </is>
      </c>
      <c r="J113" t="inlineStr">
        <is>
          <t>Control Union</t>
        </is>
      </c>
      <c r="K113" t="inlineStr">
        <is>
          <t>Valid</t>
        </is>
      </c>
    </row>
    <row r="114">
      <c r="A114" t="inlineStr">
        <is>
          <t>1912342624140787712</t>
        </is>
      </c>
      <c r="B114" t="inlineStr">
        <is>
          <t>JAPAN SUSTAINABLE ENERGY CORPORATION</t>
        </is>
      </c>
      <c r="C114" t="inlineStr">
        <is>
          <t>Japan</t>
        </is>
      </c>
      <c r="D114" t="inlineStr">
        <is>
          <t>Trader</t>
        </is>
      </c>
      <c r="E114" t="inlineStr">
        <is>
          <t>FIT/FIP</t>
        </is>
      </c>
      <c r="F114" t="inlineStr">
        <is>
          <t>GGLS1, GGLS4</t>
        </is>
      </c>
      <c r="G114" t="inlineStr">
        <is>
          <t>AR</t>
        </is>
      </c>
      <c r="H114" t="inlineStr">
        <is>
          <t>2024-03-08</t>
        </is>
      </c>
      <c r="I114" t="inlineStr">
        <is>
          <t>2029-03-07</t>
        </is>
      </c>
      <c r="J114" t="inlineStr">
        <is>
          <t>PT Carsurin Certiva International</t>
        </is>
      </c>
      <c r="K114" t="inlineStr">
        <is>
          <t>Valid</t>
        </is>
      </c>
    </row>
    <row r="115">
      <c r="A115" t="inlineStr">
        <is>
          <t>1882871564429426688</t>
        </is>
      </c>
      <c r="B115" t="inlineStr">
        <is>
          <t>JAYIN (MALAYSIA) SDN BHD</t>
        </is>
      </c>
      <c r="C115" t="inlineStr">
        <is>
          <t>Malaysia</t>
        </is>
      </c>
      <c r="D115" t="inlineStr">
        <is>
          <t>First collector</t>
        </is>
      </c>
      <c r="E115" t="inlineStr">
        <is>
          <t>FIT/FIP</t>
        </is>
      </c>
      <c r="F115" t="inlineStr">
        <is>
          <t>GGLS1, GGLS4</t>
        </is>
      </c>
      <c r="G115" t="inlineStr">
        <is>
          <t>AR</t>
        </is>
      </c>
      <c r="H115" t="inlineStr">
        <is>
          <t>2024-04-05</t>
        </is>
      </c>
      <c r="I115" t="inlineStr">
        <is>
          <t>2029-04-04</t>
        </is>
      </c>
      <c r="J115" t="inlineStr">
        <is>
          <t>Control Union</t>
        </is>
      </c>
      <c r="K115" t="inlineStr">
        <is>
          <t>Valid</t>
        </is>
      </c>
    </row>
    <row r="116">
      <c r="A116" t="inlineStr">
        <is>
          <t>1884153344184811520</t>
        </is>
      </c>
      <c r="B116" t="inlineStr">
        <is>
          <t>JFE Engineering Co.Ltd</t>
        </is>
      </c>
      <c r="C116" t="inlineStr">
        <is>
          <t>Japan</t>
        </is>
      </c>
      <c r="D116" t="inlineStr">
        <is>
          <t>Trader</t>
        </is>
      </c>
      <c r="E116" t="inlineStr">
        <is>
          <t>FIT/FIP</t>
        </is>
      </c>
      <c r="F116" t="inlineStr">
        <is>
          <t>GGLS1, GGLS4</t>
        </is>
      </c>
      <c r="G116" t="inlineStr">
        <is>
          <t>AR</t>
        </is>
      </c>
      <c r="H116" t="inlineStr">
        <is>
          <t>2022-11-10</t>
        </is>
      </c>
      <c r="I116" t="inlineStr">
        <is>
          <t>2027-11-09</t>
        </is>
      </c>
      <c r="J116" t="inlineStr">
        <is>
          <t>Control Union</t>
        </is>
      </c>
      <c r="K116" t="inlineStr">
        <is>
          <t>Valid</t>
        </is>
      </c>
    </row>
    <row r="117">
      <c r="A117" t="inlineStr">
        <is>
          <t>1884192629717991424</t>
        </is>
      </c>
      <c r="B117" t="inlineStr">
        <is>
          <t>JFE Shoji Corporation</t>
        </is>
      </c>
      <c r="C117" t="inlineStr">
        <is>
          <t>Japan</t>
        </is>
      </c>
      <c r="D117" t="inlineStr">
        <is>
          <t>Trader</t>
        </is>
      </c>
      <c r="E117" t="inlineStr">
        <is>
          <t>FIT/FIP</t>
        </is>
      </c>
      <c r="F117" t="inlineStr">
        <is>
          <t>GGLS1, GGLS4</t>
        </is>
      </c>
      <c r="G117" t="inlineStr">
        <is>
          <t>AR, WB</t>
        </is>
      </c>
      <c r="H117" t="inlineStr">
        <is>
          <t>2022-05-18</t>
        </is>
      </c>
      <c r="I117" t="inlineStr">
        <is>
          <t>2027-05-17</t>
        </is>
      </c>
      <c r="J117" t="inlineStr">
        <is>
          <t>Control Union</t>
        </is>
      </c>
      <c r="K117" t="inlineStr">
        <is>
          <t>Valid</t>
        </is>
      </c>
    </row>
    <row r="118">
      <c r="A118" t="inlineStr">
        <is>
          <t>1883185120542720000</t>
        </is>
      </c>
      <c r="B118" t="inlineStr">
        <is>
          <t>JJ FUEL SUPPLY SDN BHD</t>
        </is>
      </c>
      <c r="C118" t="inlineStr">
        <is>
          <t>Malaysia</t>
        </is>
      </c>
      <c r="D118" t="inlineStr">
        <is>
          <t>Trader</t>
        </is>
      </c>
      <c r="E118" t="inlineStr">
        <is>
          <t>FIT/FIP</t>
        </is>
      </c>
      <c r="F118" t="inlineStr">
        <is>
          <t>GGLS1, GGLS4</t>
        </is>
      </c>
      <c r="G118" t="inlineStr">
        <is>
          <t>AR</t>
        </is>
      </c>
      <c r="H118" t="inlineStr">
        <is>
          <t>2023-12-08</t>
        </is>
      </c>
      <c r="I118" t="inlineStr">
        <is>
          <t>2028-12-07</t>
        </is>
      </c>
      <c r="J118" t="inlineStr">
        <is>
          <t>Control Union</t>
        </is>
      </c>
      <c r="K118" t="inlineStr">
        <is>
          <t>Valid</t>
        </is>
      </c>
    </row>
    <row r="119">
      <c r="A119" t="inlineStr">
        <is>
          <t>1883185983592071168</t>
        </is>
      </c>
      <c r="B119" t="inlineStr">
        <is>
          <t>JM AGRI RESOURCE SDN BHD</t>
        </is>
      </c>
      <c r="C119" t="inlineStr">
        <is>
          <t>Malaysia</t>
        </is>
      </c>
      <c r="D119" t="inlineStr">
        <is>
          <t>Trader</t>
        </is>
      </c>
      <c r="E119" t="inlineStr">
        <is>
          <t>FIT/FIP</t>
        </is>
      </c>
      <c r="F119" t="inlineStr">
        <is>
          <t>GGLS1, GGLS4</t>
        </is>
      </c>
      <c r="G119" t="inlineStr">
        <is>
          <t>AR</t>
        </is>
      </c>
      <c r="H119" t="inlineStr">
        <is>
          <t>2023-12-08</t>
        </is>
      </c>
      <c r="I119" t="inlineStr">
        <is>
          <t>2028-12-07</t>
        </is>
      </c>
      <c r="J119" t="inlineStr">
        <is>
          <t>Control Union</t>
        </is>
      </c>
      <c r="K119" t="inlineStr">
        <is>
          <t>Valid</t>
        </is>
      </c>
    </row>
    <row r="120">
      <c r="A120" t="inlineStr">
        <is>
          <t>1886335798639329280</t>
        </is>
      </c>
      <c r="B120" t="inlineStr">
        <is>
          <t>JSK TRADING SERVICES</t>
        </is>
      </c>
      <c r="C120" t="inlineStr">
        <is>
          <t>Malaysia</t>
        </is>
      </c>
      <c r="D120" t="inlineStr">
        <is>
          <t>First collector, Trader</t>
        </is>
      </c>
      <c r="E120" t="inlineStr">
        <is>
          <t>FIT/FIP</t>
        </is>
      </c>
      <c r="F120" t="inlineStr">
        <is>
          <t>GGLS1, GGLS4</t>
        </is>
      </c>
      <c r="G120" t="inlineStr">
        <is>
          <t>AR</t>
        </is>
      </c>
      <c r="H120" t="inlineStr">
        <is>
          <t>2024-01-07</t>
        </is>
      </c>
      <c r="I120" t="inlineStr">
        <is>
          <t>2029-01-06</t>
        </is>
      </c>
      <c r="J120" t="inlineStr">
        <is>
          <t>Trans Certification &amp; Inspection SDN. BHD.</t>
        </is>
      </c>
      <c r="K120" t="inlineStr">
        <is>
          <t>Valid</t>
        </is>
      </c>
    </row>
    <row r="121">
      <c r="A121" t="inlineStr">
        <is>
          <t>1884127281689919488</t>
        </is>
      </c>
      <c r="B121" t="inlineStr">
        <is>
          <t>Japan Petroleum Exploration Co., Ltd.</t>
        </is>
      </c>
      <c r="C121" t="inlineStr">
        <is>
          <t>Japan</t>
        </is>
      </c>
      <c r="D121" t="inlineStr">
        <is>
          <t>Trader</t>
        </is>
      </c>
      <c r="E121" t="inlineStr">
        <is>
          <t>FIT/FIP</t>
        </is>
      </c>
      <c r="F121" t="inlineStr">
        <is>
          <t>GGLS1, GGLS4</t>
        </is>
      </c>
      <c r="G121" t="inlineStr">
        <is>
          <t>AR</t>
        </is>
      </c>
      <c r="H121" t="inlineStr">
        <is>
          <t>2023-06-07</t>
        </is>
      </c>
      <c r="I121" t="inlineStr">
        <is>
          <t>2028-06-06</t>
        </is>
      </c>
      <c r="J121" t="inlineStr">
        <is>
          <t>Control Union</t>
        </is>
      </c>
      <c r="K121" t="inlineStr">
        <is>
          <t>Valid</t>
        </is>
      </c>
    </row>
    <row r="122">
      <c r="A122" t="inlineStr">
        <is>
          <t>1927643278178516992</t>
        </is>
      </c>
      <c r="B122" t="inlineStr">
        <is>
          <t>Just Oil &amp; Grain Pte Ltd</t>
        </is>
      </c>
      <c r="C122" t="inlineStr">
        <is>
          <t>Singapore</t>
        </is>
      </c>
      <c r="D122" t="inlineStr">
        <is>
          <t>Trader</t>
        </is>
      </c>
      <c r="E122" t="inlineStr">
        <is>
          <t>FIT/FIP</t>
        </is>
      </c>
      <c r="F122" t="inlineStr">
        <is>
          <t>GGLS1, GGLS4</t>
        </is>
      </c>
      <c r="G122" t="inlineStr">
        <is>
          <t>AR</t>
        </is>
      </c>
      <c r="H122" t="inlineStr">
        <is>
          <t>2025-04-02</t>
        </is>
      </c>
      <c r="I122" t="inlineStr">
        <is>
          <t>2030-04-01</t>
        </is>
      </c>
      <c r="J122" t="inlineStr">
        <is>
          <t>Control Union</t>
        </is>
      </c>
      <c r="K122" t="inlineStr">
        <is>
          <t>Valid</t>
        </is>
      </c>
    </row>
    <row r="123">
      <c r="A123" t="inlineStr">
        <is>
          <t>1936963609439502336</t>
        </is>
      </c>
      <c r="B123" t="inlineStr">
        <is>
          <t>KAIROS OIL SDN BHD</t>
        </is>
      </c>
      <c r="C123" t="inlineStr">
        <is>
          <t>Malaysia</t>
        </is>
      </c>
      <c r="D123" t="inlineStr">
        <is>
          <t>Trader</t>
        </is>
      </c>
      <c r="E123" t="inlineStr">
        <is>
          <t>FIT/FIP</t>
        </is>
      </c>
      <c r="F123" t="inlineStr">
        <is>
          <t>GGLS1, GGLS4</t>
        </is>
      </c>
      <c r="G123" t="inlineStr">
        <is>
          <t>AR</t>
        </is>
      </c>
      <c r="H123" t="inlineStr">
        <is>
          <t>2024-08-06</t>
        </is>
      </c>
      <c r="I123" t="inlineStr">
        <is>
          <t>2029-08-05</t>
        </is>
      </c>
      <c r="J123" t="inlineStr">
        <is>
          <t>Trans Certification &amp; Inspection SDN. BHD.</t>
        </is>
      </c>
      <c r="K123" t="inlineStr">
        <is>
          <t>Valid</t>
        </is>
      </c>
    </row>
    <row r="124">
      <c r="A124" t="inlineStr">
        <is>
          <t>1884181116898770944</t>
        </is>
      </c>
      <c r="B124" t="inlineStr">
        <is>
          <t>KAITA BIOMASS POWER CO.,LTD</t>
        </is>
      </c>
      <c r="C124" t="inlineStr">
        <is>
          <t>Japan</t>
        </is>
      </c>
      <c r="D124" t="inlineStr">
        <is>
          <t>Power company</t>
        </is>
      </c>
      <c r="E124" t="inlineStr">
        <is>
          <t>FIT/FIP</t>
        </is>
      </c>
      <c r="F124" t="inlineStr">
        <is>
          <t>GGLS1, GGLS4, GGLS6</t>
        </is>
      </c>
      <c r="G124" t="inlineStr">
        <is>
          <t>AR</t>
        </is>
      </c>
      <c r="H124" t="inlineStr">
        <is>
          <t>2022-02-14</t>
        </is>
      </c>
      <c r="I124" t="inlineStr">
        <is>
          <t>2027-02-13</t>
        </is>
      </c>
      <c r="J124" t="inlineStr">
        <is>
          <t>Control Union</t>
        </is>
      </c>
      <c r="K124" t="inlineStr">
        <is>
          <t>Valid</t>
        </is>
      </c>
    </row>
    <row r="125">
      <c r="A125" t="inlineStr">
        <is>
          <t>1931883283017105408</t>
        </is>
      </c>
      <c r="B125" t="inlineStr">
        <is>
          <t>KARATSU BIOMASS ENERGY G.K.</t>
        </is>
      </c>
      <c r="C125" t="inlineStr">
        <is>
          <t>Japan</t>
        </is>
      </c>
      <c r="D125" t="inlineStr">
        <is>
          <t>Power company</t>
        </is>
      </c>
      <c r="E125" t="inlineStr">
        <is>
          <t>FIT/FIP</t>
        </is>
      </c>
      <c r="F125" t="inlineStr">
        <is>
          <t>GGLS1, GGLS4, GGLS6</t>
        </is>
      </c>
      <c r="G125" t="inlineStr">
        <is>
          <t>AR</t>
        </is>
      </c>
      <c r="H125" t="inlineStr">
        <is>
          <t>2025-03-04</t>
        </is>
      </c>
      <c r="I125" t="inlineStr">
        <is>
          <t>2030-03-03</t>
        </is>
      </c>
      <c r="J125" t="inlineStr">
        <is>
          <t>Control Union</t>
        </is>
      </c>
      <c r="K125" t="inlineStr">
        <is>
          <t>Valid</t>
        </is>
      </c>
    </row>
    <row r="126">
      <c r="A126" t="inlineStr">
        <is>
          <t>1882776377996869632</t>
        </is>
      </c>
      <c r="B126" t="inlineStr">
        <is>
          <t>KBEXCEL CO., LTD.</t>
        </is>
      </c>
      <c r="C126" t="inlineStr">
        <is>
          <t>Japan</t>
        </is>
      </c>
      <c r="D126" t="inlineStr">
        <is>
          <t>Trader</t>
        </is>
      </c>
      <c r="E126" t="inlineStr">
        <is>
          <t>FIT/FIP</t>
        </is>
      </c>
      <c r="F126" t="inlineStr">
        <is>
          <t>GGLS1, GGLS4</t>
        </is>
      </c>
      <c r="G126" t="inlineStr">
        <is>
          <t>AR, WB</t>
        </is>
      </c>
      <c r="H126" t="inlineStr">
        <is>
          <t>2024-05-29</t>
        </is>
      </c>
      <c r="I126" t="inlineStr">
        <is>
          <t>2029-05-28</t>
        </is>
      </c>
      <c r="J126" t="inlineStr">
        <is>
          <t>Control Union</t>
        </is>
      </c>
      <c r="K126" t="inlineStr">
        <is>
          <t>Valid</t>
        </is>
      </c>
    </row>
    <row r="127">
      <c r="A127" t="inlineStr">
        <is>
          <t>1884590504880898048</t>
        </is>
      </c>
      <c r="B127" t="inlineStr">
        <is>
          <t>KHANG GIA PRODUCTION TRADING CO.,LTD</t>
        </is>
      </c>
      <c r="C127" t="inlineStr">
        <is>
          <t>Vietnam</t>
        </is>
      </c>
      <c r="D127" t="inlineStr">
        <is>
          <t>Biomass producer</t>
        </is>
      </c>
      <c r="E127" t="inlineStr">
        <is>
          <t>FIT/FIP</t>
        </is>
      </c>
      <c r="F127" t="inlineStr">
        <is>
          <t>GGLS1, GGLS4</t>
        </is>
      </c>
      <c r="G127" t="inlineStr">
        <is>
          <t>AR</t>
        </is>
      </c>
      <c r="H127" t="inlineStr">
        <is>
          <t>2024-12-17</t>
        </is>
      </c>
      <c r="I127" t="inlineStr">
        <is>
          <t>2029-12-16</t>
        </is>
      </c>
      <c r="J127" t="inlineStr">
        <is>
          <t>BM Certification</t>
        </is>
      </c>
      <c r="K127" t="inlineStr">
        <is>
          <t>Revoked</t>
        </is>
      </c>
    </row>
    <row r="128">
      <c r="A128" t="inlineStr">
        <is>
          <t>1886609914067943424</t>
        </is>
      </c>
      <c r="B128" t="inlineStr">
        <is>
          <t>KL LEE GRAND SDN BHD</t>
        </is>
      </c>
      <c r="C128" t="inlineStr">
        <is>
          <t>Malaysia</t>
        </is>
      </c>
      <c r="D128" t="inlineStr">
        <is>
          <t>First collector, Trader</t>
        </is>
      </c>
      <c r="E128" t="inlineStr">
        <is>
          <t>FIT/FIP</t>
        </is>
      </c>
      <c r="F128" t="inlineStr">
        <is>
          <t>GGLS1, GGLS4</t>
        </is>
      </c>
      <c r="G128" t="inlineStr">
        <is>
          <t>AR</t>
        </is>
      </c>
      <c r="H128" t="inlineStr">
        <is>
          <t>2023-12-29</t>
        </is>
      </c>
      <c r="I128" t="inlineStr">
        <is>
          <t>2028-12-28</t>
        </is>
      </c>
      <c r="J128" t="inlineStr">
        <is>
          <t>Trans Certification &amp; Inspection SDN. BHD.</t>
        </is>
      </c>
      <c r="K128" t="inlineStr">
        <is>
          <t>Valid</t>
        </is>
      </c>
    </row>
    <row r="129">
      <c r="A129" t="inlineStr">
        <is>
          <t>1883530436215308288</t>
        </is>
      </c>
      <c r="B129" t="inlineStr">
        <is>
          <t>KYOTO ENERGY VENTURES SDN BHD</t>
        </is>
      </c>
      <c r="C129" t="inlineStr">
        <is>
          <t>Malaysia</t>
        </is>
      </c>
      <c r="D129" t="inlineStr">
        <is>
          <t>First collector</t>
        </is>
      </c>
      <c r="E129" t="inlineStr">
        <is>
          <t>FIT/FIP</t>
        </is>
      </c>
      <c r="F129" t="inlineStr">
        <is>
          <t>GGLS1, GGLS4</t>
        </is>
      </c>
      <c r="G129" t="inlineStr">
        <is>
          <t>AR</t>
        </is>
      </c>
      <c r="H129" t="inlineStr">
        <is>
          <t>2024-07-26</t>
        </is>
      </c>
      <c r="I129" t="inlineStr">
        <is>
          <t>2029-07-25</t>
        </is>
      </c>
      <c r="J129" t="inlineStr">
        <is>
          <t>Control Union</t>
        </is>
      </c>
      <c r="K129" t="inlineStr">
        <is>
          <t>Valid</t>
        </is>
      </c>
    </row>
    <row r="130">
      <c r="A130" t="inlineStr">
        <is>
          <t>1883144705613496320</t>
        </is>
      </c>
      <c r="B130" t="inlineStr">
        <is>
          <t>Kanda Biomass Energy K.K.</t>
        </is>
      </c>
      <c r="C130" t="inlineStr">
        <is>
          <t>Japan</t>
        </is>
      </c>
      <c r="D130" t="inlineStr">
        <is>
          <t>Power company</t>
        </is>
      </c>
      <c r="E130" t="inlineStr">
        <is>
          <t>FIT/FIP</t>
        </is>
      </c>
      <c r="F130" t="inlineStr">
        <is>
          <t>GGLS1, GGLS4, GGLS6</t>
        </is>
      </c>
      <c r="G130" t="inlineStr">
        <is>
          <t>AR, WB</t>
        </is>
      </c>
      <c r="H130" t="inlineStr">
        <is>
          <t>2024-02-01</t>
        </is>
      </c>
      <c r="I130" t="inlineStr">
        <is>
          <t>2029-01-31</t>
        </is>
      </c>
      <c r="J130" t="inlineStr">
        <is>
          <t>Control Union</t>
        </is>
      </c>
      <c r="K130" t="inlineStr">
        <is>
          <t>Valid</t>
        </is>
      </c>
    </row>
    <row r="131">
      <c r="A131" t="inlineStr">
        <is>
          <t>1884183011629465600</t>
        </is>
      </c>
      <c r="B131" t="inlineStr">
        <is>
          <t>Kanden Power-Tech Corporation</t>
        </is>
      </c>
      <c r="C131" t="inlineStr">
        <is>
          <t>Japan</t>
        </is>
      </c>
      <c r="D131" t="inlineStr">
        <is>
          <t>Trader</t>
        </is>
      </c>
      <c r="E131" t="inlineStr">
        <is>
          <t>FIT/FIP</t>
        </is>
      </c>
      <c r="F131" t="inlineStr">
        <is>
          <t>GGLS1, GGLS4</t>
        </is>
      </c>
      <c r="G131" t="inlineStr">
        <is>
          <t>AR</t>
        </is>
      </c>
      <c r="H131" t="inlineStr">
        <is>
          <t>2022-03-02</t>
        </is>
      </c>
      <c r="I131" t="inlineStr">
        <is>
          <t>2027-03-01</t>
        </is>
      </c>
      <c r="J131" t="inlineStr">
        <is>
          <t>Control Union</t>
        </is>
      </c>
      <c r="K131" t="inlineStr">
        <is>
          <t>Valid</t>
        </is>
      </c>
    </row>
    <row r="132">
      <c r="A132" t="inlineStr">
        <is>
          <t>1884186705498472448</t>
        </is>
      </c>
      <c r="B132" t="inlineStr">
        <is>
          <t>Kanematsu Corporation</t>
        </is>
      </c>
      <c r="C132" t="inlineStr">
        <is>
          <t>Japan</t>
        </is>
      </c>
      <c r="D132" t="inlineStr">
        <is>
          <t>Trader</t>
        </is>
      </c>
      <c r="E132" t="inlineStr">
        <is>
          <t>FIT/FIP</t>
        </is>
      </c>
      <c r="F132" t="inlineStr">
        <is>
          <t>GGLS1, GGLS4</t>
        </is>
      </c>
      <c r="G132" t="inlineStr">
        <is>
          <t>AR, WB</t>
        </is>
      </c>
      <c r="H132" t="inlineStr">
        <is>
          <t>2022-07-14</t>
        </is>
      </c>
      <c r="I132" t="inlineStr">
        <is>
          <t>2027-07-13</t>
        </is>
      </c>
      <c r="J132" t="inlineStr">
        <is>
          <t>Control Union</t>
        </is>
      </c>
      <c r="K132" t="inlineStr">
        <is>
          <t>Valid</t>
        </is>
      </c>
    </row>
    <row r="133">
      <c r="A133" t="inlineStr">
        <is>
          <t>1883136984738693120</t>
        </is>
      </c>
      <c r="B133" t="inlineStr">
        <is>
          <t>Keihin Biomass Power Co., Ltd.</t>
        </is>
      </c>
      <c r="C133" t="inlineStr">
        <is>
          <t>Japan</t>
        </is>
      </c>
      <c r="D133" t="inlineStr">
        <is>
          <t>Power company</t>
        </is>
      </c>
      <c r="E133" t="inlineStr">
        <is>
          <t>FIT/FIP</t>
        </is>
      </c>
      <c r="F133" t="inlineStr">
        <is>
          <t>GGLS1, GGLS4, GGLS6</t>
        </is>
      </c>
      <c r="G133" t="inlineStr">
        <is>
          <t>AR</t>
        </is>
      </c>
      <c r="H133" t="inlineStr">
        <is>
          <t>2024-02-08</t>
        </is>
      </c>
      <c r="I133" t="inlineStr">
        <is>
          <t>2029-02-07</t>
        </is>
      </c>
      <c r="J133" t="inlineStr">
        <is>
          <t>Control Union</t>
        </is>
      </c>
      <c r="K133" t="inlineStr">
        <is>
          <t>Valid</t>
        </is>
      </c>
    </row>
    <row r="134">
      <c r="A134" t="inlineStr">
        <is>
          <t>1990695040992673792</t>
        </is>
      </c>
      <c r="B134" t="inlineStr">
        <is>
          <t>Kon Tum Green Energy Joint Stock Company</t>
        </is>
      </c>
      <c r="C134" t="inlineStr">
        <is>
          <t>Vietnam</t>
        </is>
      </c>
      <c r="D134" t="inlineStr">
        <is>
          <t>Biomass producer, Trader</t>
        </is>
      </c>
      <c r="E134" t="inlineStr">
        <is>
          <t>FIT/FIP</t>
        </is>
      </c>
      <c r="F134" t="inlineStr">
        <is>
          <t>GGLS1, GGLS4</t>
        </is>
      </c>
      <c r="G134" t="inlineStr">
        <is>
          <t>WB</t>
        </is>
      </c>
      <c r="H134" t="inlineStr">
        <is>
          <t>2025-11-18</t>
        </is>
      </c>
      <c r="I134" t="inlineStr">
        <is>
          <t>2030-11-17</t>
        </is>
      </c>
      <c r="J134" t="inlineStr">
        <is>
          <t>PT Intertek Utama Services</t>
        </is>
      </c>
      <c r="K134" t="inlineStr">
        <is>
          <t>Valid</t>
        </is>
      </c>
    </row>
    <row r="135">
      <c r="A135" t="inlineStr">
        <is>
          <t>2054404800803504128</t>
        </is>
      </c>
      <c r="B135" t="inlineStr">
        <is>
          <t>LIVING NATURE SDN BHD</t>
        </is>
      </c>
      <c r="C135" t="inlineStr">
        <is>
          <t>Malaysia</t>
        </is>
      </c>
      <c r="D135" t="inlineStr">
        <is>
          <t>Biomass producer, First collector, Trader</t>
        </is>
      </c>
      <c r="E135" t="inlineStr">
        <is>
          <t>FIT/FIP</t>
        </is>
      </c>
      <c r="F135" t="inlineStr">
        <is>
          <t>GGLS1, GGLS4</t>
        </is>
      </c>
      <c r="G135" t="inlineStr">
        <is>
          <t>Cat 5</t>
        </is>
      </c>
      <c r="H135" t="inlineStr">
        <is>
          <t>2026-06-08</t>
        </is>
      </c>
      <c r="I135" t="inlineStr">
        <is>
          <t>2031-06-07</t>
        </is>
      </c>
      <c r="J135" t="inlineStr">
        <is>
          <t>Trans Certification &amp; Inspection SDN. BHD.</t>
        </is>
      </c>
      <c r="K135" t="inlineStr">
        <is>
          <t>Valid</t>
        </is>
      </c>
    </row>
    <row r="136">
      <c r="A136" t="inlineStr">
        <is>
          <t>1883128795028783104</t>
        </is>
      </c>
      <c r="B136" t="inlineStr">
        <is>
          <t>LONG HAI PHAT PRODUCTION AND TRADING CO., LTD</t>
        </is>
      </c>
      <c r="C136" t="inlineStr">
        <is>
          <t>Vietnam</t>
        </is>
      </c>
      <c r="D136" t="inlineStr">
        <is>
          <t>Biomass producer</t>
        </is>
      </c>
      <c r="E136" t="inlineStr">
        <is>
          <t>FIT/FIP</t>
        </is>
      </c>
      <c r="F136" t="inlineStr">
        <is>
          <t>GGLS1, GGLS4</t>
        </is>
      </c>
      <c r="G136" t="inlineStr">
        <is>
          <t>WB</t>
        </is>
      </c>
      <c r="H136" t="inlineStr">
        <is>
          <t>2024-03-01</t>
        </is>
      </c>
      <c r="I136" t="inlineStr">
        <is>
          <t>2029-02-28</t>
        </is>
      </c>
      <c r="J136" t="inlineStr">
        <is>
          <t>Control Union</t>
        </is>
      </c>
      <c r="K136" t="inlineStr">
        <is>
          <t>Revoked</t>
        </is>
      </c>
    </row>
    <row r="137">
      <c r="A137" t="inlineStr">
        <is>
          <t>1883128795028783104</t>
        </is>
      </c>
      <c r="B137" t="inlineStr">
        <is>
          <t>LONG HAI PHAT PRODUCTION AND TRADING CO., LTD</t>
        </is>
      </c>
      <c r="C137" t="inlineStr">
        <is>
          <t>Vietnam</t>
        </is>
      </c>
      <c r="D137" t="inlineStr">
        <is>
          <t>Biomass producer</t>
        </is>
      </c>
      <c r="E137" t="inlineStr">
        <is>
          <t>FIT/FIP</t>
        </is>
      </c>
      <c r="F137" t="inlineStr">
        <is>
          <t>GGLS1, GGLS4</t>
        </is>
      </c>
      <c r="G137" t="inlineStr">
        <is>
          <t>AR</t>
        </is>
      </c>
      <c r="H137" t="inlineStr">
        <is>
          <t>2024-03-01</t>
        </is>
      </c>
      <c r="I137" t="inlineStr">
        <is>
          <t>2029-02-28</t>
        </is>
      </c>
      <c r="J137" t="inlineStr">
        <is>
          <t>Control Union</t>
        </is>
      </c>
      <c r="K137" t="inlineStr">
        <is>
          <t>Revoked</t>
        </is>
      </c>
    </row>
    <row r="138">
      <c r="A138" t="inlineStr">
        <is>
          <t>1883128795028783104</t>
        </is>
      </c>
      <c r="B138" t="inlineStr">
        <is>
          <t>LONG HAI PHAT PRODUCTION AND TRADING CO., LTD</t>
        </is>
      </c>
      <c r="C138" t="inlineStr">
        <is>
          <t>Vietnam</t>
        </is>
      </c>
      <c r="D138" t="inlineStr">
        <is>
          <t>Biomass producer</t>
        </is>
      </c>
      <c r="E138" t="inlineStr">
        <is>
          <t>SDE++</t>
        </is>
      </c>
      <c r="F138" t="inlineStr">
        <is>
          <t>GGLS1, GGLS4</t>
        </is>
      </c>
      <c r="G138" t="inlineStr">
        <is>
          <t>Cat 5</t>
        </is>
      </c>
      <c r="H138" t="inlineStr">
        <is>
          <t>2024-03-01</t>
        </is>
      </c>
      <c r="I138" t="inlineStr">
        <is>
          <t>2029-02-28</t>
        </is>
      </c>
      <c r="J138" t="inlineStr">
        <is>
          <t>Control Union</t>
        </is>
      </c>
      <c r="K138" t="inlineStr">
        <is>
          <t>Valid</t>
        </is>
      </c>
    </row>
    <row r="139">
      <c r="A139" t="inlineStr">
        <is>
          <t>1884516430313947136</t>
        </is>
      </c>
      <c r="B139" t="inlineStr">
        <is>
          <t>LUI SAWIT OIL PALM SDN. BHD.</t>
        </is>
      </c>
      <c r="C139" t="inlineStr">
        <is>
          <t>Malaysia</t>
        </is>
      </c>
      <c r="D139" t="inlineStr">
        <is>
          <t>First collector</t>
        </is>
      </c>
      <c r="E139" t="inlineStr">
        <is>
          <t>FIT/FIP</t>
        </is>
      </c>
      <c r="F139" t="inlineStr">
        <is>
          <t>GGLS1, GGLS4</t>
        </is>
      </c>
      <c r="G139" t="inlineStr">
        <is>
          <t>AR</t>
        </is>
      </c>
      <c r="H139" t="inlineStr">
        <is>
          <t>2024-07-04</t>
        </is>
      </c>
      <c r="I139" t="inlineStr">
        <is>
          <t>2029-07-03</t>
        </is>
      </c>
      <c r="J139" t="inlineStr">
        <is>
          <t>Control Union</t>
        </is>
      </c>
      <c r="K139" t="inlineStr">
        <is>
          <t>Valid</t>
        </is>
      </c>
    </row>
    <row r="140">
      <c r="A140" t="inlineStr">
        <is>
          <t>1891771221188542464</t>
        </is>
      </c>
      <c r="B140" t="inlineStr">
        <is>
          <t>LX International Japan Ltd.</t>
        </is>
      </c>
      <c r="C140" t="inlineStr">
        <is>
          <t>Japan</t>
        </is>
      </c>
      <c r="D140" t="inlineStr">
        <is>
          <t>Trader</t>
        </is>
      </c>
      <c r="E140" t="inlineStr">
        <is>
          <t>FIT/FIP</t>
        </is>
      </c>
      <c r="F140" t="inlineStr">
        <is>
          <t>GGLS1, GGLS4</t>
        </is>
      </c>
      <c r="G140" t="inlineStr">
        <is>
          <t>AR</t>
        </is>
      </c>
      <c r="H140" t="inlineStr">
        <is>
          <t>2024-01-27</t>
        </is>
      </c>
      <c r="I140" t="inlineStr">
        <is>
          <t>2029-01-26</t>
        </is>
      </c>
      <c r="J140" t="inlineStr">
        <is>
          <t>Control Union</t>
        </is>
      </c>
      <c r="K140" t="inlineStr">
        <is>
          <t>Valid</t>
        </is>
      </c>
    </row>
    <row r="141">
      <c r="A141" t="inlineStr">
        <is>
          <t>2016324654746042368</t>
        </is>
      </c>
      <c r="B141" t="inlineStr">
        <is>
          <t>MC BIO SDN BHD</t>
        </is>
      </c>
      <c r="C141" t="inlineStr">
        <is>
          <t>Malaysia</t>
        </is>
      </c>
      <c r="D141" t="inlineStr">
        <is>
          <t>Biomass producer, Trader</t>
        </is>
      </c>
      <c r="E141" t="inlineStr">
        <is>
          <t>FIT/FIP</t>
        </is>
      </c>
      <c r="F141" t="inlineStr">
        <is>
          <t>GGLS1, GGLS4</t>
        </is>
      </c>
      <c r="G141" t="inlineStr">
        <is>
          <t>Cat 5</t>
        </is>
      </c>
      <c r="H141" t="inlineStr">
        <is>
          <t>2026-02-02</t>
        </is>
      </c>
      <c r="I141" t="inlineStr">
        <is>
          <t>2031-02-01</t>
        </is>
      </c>
      <c r="J141" t="inlineStr">
        <is>
          <t>Trans Certification &amp; Inspection SDN. BHD.</t>
        </is>
      </c>
      <c r="K141" t="inlineStr">
        <is>
          <t>Valid</t>
        </is>
      </c>
    </row>
    <row r="142">
      <c r="A142" t="inlineStr">
        <is>
          <t>1883269809412505600</t>
        </is>
      </c>
      <c r="B142" t="inlineStr">
        <is>
          <t>MITSUI &amp; CO., LTD. Integrated Energy Solutions Business Unit, Energy Trading &amp; Marketing Div., Fuel Solution (Biomass) Dept.</t>
        </is>
      </c>
      <c r="C142" t="inlineStr">
        <is>
          <t>Japan</t>
        </is>
      </c>
      <c r="D142" t="inlineStr">
        <is>
          <t>Trader</t>
        </is>
      </c>
      <c r="E142" t="inlineStr">
        <is>
          <t>FIT/FIP</t>
        </is>
      </c>
      <c r="F142" t="inlineStr">
        <is>
          <t>GGLS1, GGLS4</t>
        </is>
      </c>
      <c r="G142" t="inlineStr">
        <is>
          <t>AR</t>
        </is>
      </c>
      <c r="H142" t="inlineStr">
        <is>
          <t>2023-07-03</t>
        </is>
      </c>
      <c r="I142" t="inlineStr">
        <is>
          <t>2028-07-02</t>
        </is>
      </c>
      <c r="J142" t="inlineStr">
        <is>
          <t>Control Union</t>
        </is>
      </c>
      <c r="K142" t="inlineStr">
        <is>
          <t>Valid</t>
        </is>
      </c>
    </row>
    <row r="143">
      <c r="A143" t="inlineStr">
        <is>
          <t>1884136188277686272</t>
        </is>
      </c>
      <c r="B143" t="inlineStr">
        <is>
          <t>MS Enelucia Co.,Ltd.</t>
        </is>
      </c>
      <c r="C143" t="inlineStr">
        <is>
          <t>Japan</t>
        </is>
      </c>
      <c r="D143" t="inlineStr">
        <is>
          <t>Trader</t>
        </is>
      </c>
      <c r="E143" t="inlineStr">
        <is>
          <t>FIT/FIP</t>
        </is>
      </c>
      <c r="F143" t="inlineStr">
        <is>
          <t>GGLS1, GGLS4</t>
        </is>
      </c>
      <c r="G143" t="inlineStr">
        <is>
          <t>AR</t>
        </is>
      </c>
      <c r="H143" t="inlineStr">
        <is>
          <t>2023-03-22</t>
        </is>
      </c>
      <c r="I143" t="inlineStr">
        <is>
          <t>2028-03-21</t>
        </is>
      </c>
      <c r="J143" t="inlineStr">
        <is>
          <t>Control Union</t>
        </is>
      </c>
      <c r="K143" t="inlineStr">
        <is>
          <t>Valid</t>
        </is>
      </c>
    </row>
    <row r="144">
      <c r="A144" t="inlineStr">
        <is>
          <t>1882875269748883456</t>
        </is>
      </c>
      <c r="B144" t="inlineStr">
        <is>
          <t>MUTIARA ENTERPRISE</t>
        </is>
      </c>
      <c r="C144" t="inlineStr">
        <is>
          <t>Malaysia</t>
        </is>
      </c>
      <c r="D144" t="inlineStr">
        <is>
          <t>First collector</t>
        </is>
      </c>
      <c r="E144" t="inlineStr">
        <is>
          <t>FIT/FIP</t>
        </is>
      </c>
      <c r="F144" t="inlineStr">
        <is>
          <t>GGLS1, GGLS4</t>
        </is>
      </c>
      <c r="G144" t="inlineStr">
        <is>
          <t>AR</t>
        </is>
      </c>
      <c r="H144" t="inlineStr">
        <is>
          <t>2024-10-16</t>
        </is>
      </c>
      <c r="I144" t="inlineStr">
        <is>
          <t>2029-10-15</t>
        </is>
      </c>
      <c r="J144" t="inlineStr">
        <is>
          <t>Control Union</t>
        </is>
      </c>
      <c r="K144" t="inlineStr">
        <is>
          <t>Suspended</t>
        </is>
      </c>
    </row>
    <row r="145">
      <c r="A145" t="inlineStr">
        <is>
          <t>1883264398231863296</t>
        </is>
      </c>
      <c r="B145" t="inlineStr">
        <is>
          <t>Marubeni Corporation Forest Resources Business Dept.</t>
        </is>
      </c>
      <c r="C145" t="inlineStr">
        <is>
          <t>Japan</t>
        </is>
      </c>
      <c r="D145" t="inlineStr">
        <is>
          <t>Trader</t>
        </is>
      </c>
      <c r="E145" t="inlineStr">
        <is>
          <t>FIT/FIP</t>
        </is>
      </c>
      <c r="F145" t="inlineStr">
        <is>
          <t>GGLS1, GGLS4</t>
        </is>
      </c>
      <c r="G145" t="inlineStr">
        <is>
          <t>AR</t>
        </is>
      </c>
      <c r="H145" t="inlineStr">
        <is>
          <t>2023-09-03</t>
        </is>
      </c>
      <c r="I145" t="inlineStr">
        <is>
          <t>2028-09-02</t>
        </is>
      </c>
      <c r="J145" t="inlineStr">
        <is>
          <t>Control Union</t>
        </is>
      </c>
      <c r="K145" t="inlineStr">
        <is>
          <t>Valid</t>
        </is>
      </c>
    </row>
    <row r="146">
      <c r="A146" t="inlineStr">
        <is>
          <t>1884161008365207552</t>
        </is>
      </c>
      <c r="B146" t="inlineStr">
        <is>
          <t>Marubeni Corporation Power &amp; Infrastructure Services (Japan) Dept.</t>
        </is>
      </c>
      <c r="C146" t="inlineStr">
        <is>
          <t>Japan</t>
        </is>
      </c>
      <c r="D146" t="inlineStr">
        <is>
          <t>Trader</t>
        </is>
      </c>
      <c r="E146" t="inlineStr">
        <is>
          <t>FIT/FIP</t>
        </is>
      </c>
      <c r="F146" t="inlineStr">
        <is>
          <t>GGLS1, GGLS4</t>
        </is>
      </c>
      <c r="G146" t="inlineStr">
        <is>
          <t>AR</t>
        </is>
      </c>
      <c r="H146" t="inlineStr">
        <is>
          <t>2022-11-02</t>
        </is>
      </c>
      <c r="I146" t="inlineStr">
        <is>
          <t>2027-11-01</t>
        </is>
      </c>
      <c r="J146" t="inlineStr">
        <is>
          <t>Control Union</t>
        </is>
      </c>
      <c r="K146" t="inlineStr">
        <is>
          <t>Valid</t>
        </is>
      </c>
    </row>
    <row r="147">
      <c r="A147" t="inlineStr">
        <is>
          <t>1883134273116962816</t>
        </is>
      </c>
      <c r="B147" t="inlineStr">
        <is>
          <t>Maruzen Chemicals Co.,Ltd.</t>
        </is>
      </c>
      <c r="C147" t="inlineStr">
        <is>
          <t>Japan</t>
        </is>
      </c>
      <c r="D147" t="inlineStr">
        <is>
          <t>Trader</t>
        </is>
      </c>
      <c r="E147" t="inlineStr">
        <is>
          <t>FIT/FIP</t>
        </is>
      </c>
      <c r="F147" t="inlineStr">
        <is>
          <t>GGLS1, GGLS4</t>
        </is>
      </c>
      <c r="G147" t="inlineStr">
        <is>
          <t>AR</t>
        </is>
      </c>
      <c r="H147" t="inlineStr">
        <is>
          <t>2024-02-08</t>
        </is>
      </c>
      <c r="I147" t="inlineStr">
        <is>
          <t>2029-02-07</t>
        </is>
      </c>
      <c r="J147" t="inlineStr">
        <is>
          <t>Control Union</t>
        </is>
      </c>
      <c r="K147" t="inlineStr">
        <is>
          <t>Valid</t>
        </is>
      </c>
    </row>
    <row r="148">
      <c r="A148" t="inlineStr">
        <is>
          <t>1883132187448967168</t>
        </is>
      </c>
      <c r="B148" t="inlineStr">
        <is>
          <t>Morinomiyako Biomass Energy G.K.</t>
        </is>
      </c>
      <c r="C148" t="inlineStr">
        <is>
          <t>Japan</t>
        </is>
      </c>
      <c r="D148" t="inlineStr">
        <is>
          <t>Power company</t>
        </is>
      </c>
      <c r="E148" t="inlineStr">
        <is>
          <t>FIT/FIP</t>
        </is>
      </c>
      <c r="F148" t="inlineStr">
        <is>
          <t>GGLS1, GGLS4, GGLS6</t>
        </is>
      </c>
      <c r="G148" t="inlineStr">
        <is>
          <t>AR</t>
        </is>
      </c>
      <c r="H148" t="inlineStr">
        <is>
          <t>2024-02-14</t>
        </is>
      </c>
      <c r="I148" t="inlineStr">
        <is>
          <t>2029-02-13</t>
        </is>
      </c>
      <c r="J148" t="inlineStr">
        <is>
          <t>Control Union</t>
        </is>
      </c>
      <c r="K148" t="inlineStr">
        <is>
          <t>Valid</t>
        </is>
      </c>
    </row>
    <row r="149">
      <c r="A149" t="inlineStr">
        <is>
          <t>1884182427031568384</t>
        </is>
      </c>
      <c r="B149" t="inlineStr">
        <is>
          <t>NIPPON COKE &amp; ENGINEERING COMPANY</t>
        </is>
      </c>
      <c r="C149" t="inlineStr">
        <is>
          <t>Japan</t>
        </is>
      </c>
      <c r="D149" t="inlineStr">
        <is>
          <t>Trader</t>
        </is>
      </c>
      <c r="E149" t="inlineStr">
        <is>
          <t>FIT/FIP</t>
        </is>
      </c>
      <c r="F149" t="inlineStr">
        <is>
          <t>GGLS1, GGLS4</t>
        </is>
      </c>
      <c r="G149" t="inlineStr">
        <is>
          <t>AR</t>
        </is>
      </c>
      <c r="H149" t="inlineStr">
        <is>
          <t>2022-08-15</t>
        </is>
      </c>
      <c r="I149" t="inlineStr">
        <is>
          <t>2027-08-14</t>
        </is>
      </c>
      <c r="J149" t="inlineStr">
        <is>
          <t>Control Union</t>
        </is>
      </c>
      <c r="K149" t="inlineStr">
        <is>
          <t>Valid</t>
        </is>
      </c>
    </row>
    <row r="150">
      <c r="A150" t="inlineStr">
        <is>
          <t>1883814701150765056</t>
        </is>
      </c>
      <c r="B150" t="inlineStr">
        <is>
          <t>NIPPON PAPER LUMBER CO.,LTD.</t>
        </is>
      </c>
      <c r="C150" t="inlineStr">
        <is>
          <t>Japan</t>
        </is>
      </c>
      <c r="D150" t="inlineStr">
        <is>
          <t>Trader</t>
        </is>
      </c>
      <c r="E150" t="inlineStr">
        <is>
          <t>FIT/FIP</t>
        </is>
      </c>
      <c r="F150" t="inlineStr">
        <is>
          <t>GGLS1, GGLS4</t>
        </is>
      </c>
      <c r="G150" t="inlineStr">
        <is>
          <t>AR</t>
        </is>
      </c>
      <c r="H150" t="inlineStr">
        <is>
          <t>2021-08-25</t>
        </is>
      </c>
      <c r="I150" t="inlineStr">
        <is>
          <t>2026-08-24</t>
        </is>
      </c>
      <c r="J150" t="inlineStr">
        <is>
          <t>Control Union</t>
        </is>
      </c>
      <c r="K150" t="inlineStr">
        <is>
          <t>Expired</t>
        </is>
      </c>
    </row>
    <row r="151">
      <c r="A151" t="inlineStr">
        <is>
          <t>1882896988442198016</t>
        </is>
      </c>
      <c r="B151" t="inlineStr">
        <is>
          <t>NISSIN BIO ENERGY SDN. BHD.</t>
        </is>
      </c>
      <c r="C151" t="inlineStr">
        <is>
          <t>Malaysia</t>
        </is>
      </c>
      <c r="D151" t="inlineStr">
        <is>
          <t>Trader</t>
        </is>
      </c>
      <c r="E151" t="inlineStr">
        <is>
          <t>FIT/FIP</t>
        </is>
      </c>
      <c r="F151" t="inlineStr">
        <is>
          <t>GGLS1, GGLS4</t>
        </is>
      </c>
      <c r="G151" t="inlineStr">
        <is>
          <t>AR</t>
        </is>
      </c>
      <c r="H151" t="inlineStr">
        <is>
          <t>2024-03-11</t>
        </is>
      </c>
      <c r="I151" t="inlineStr">
        <is>
          <t>2029-03-10</t>
        </is>
      </c>
      <c r="J151" t="inlineStr">
        <is>
          <t>Control Union</t>
        </is>
      </c>
      <c r="K151" t="inlineStr">
        <is>
          <t>Valid</t>
        </is>
      </c>
    </row>
    <row r="152">
      <c r="A152" t="inlineStr">
        <is>
          <t>1884186199090790400</t>
        </is>
      </c>
      <c r="B152" t="inlineStr">
        <is>
          <t>NX SHOJI CO., LTD.</t>
        </is>
      </c>
      <c r="C152" t="inlineStr">
        <is>
          <t>Japan</t>
        </is>
      </c>
      <c r="D152" t="inlineStr">
        <is>
          <t>Trader</t>
        </is>
      </c>
      <c r="E152" t="inlineStr">
        <is>
          <t>FIT/FIP</t>
        </is>
      </c>
      <c r="F152" t="inlineStr">
        <is>
          <t>GGLS1, GGLS4</t>
        </is>
      </c>
      <c r="G152" t="inlineStr">
        <is>
          <t>AR</t>
        </is>
      </c>
      <c r="H152" t="inlineStr">
        <is>
          <t>2022-07-14</t>
        </is>
      </c>
      <c r="I152" t="inlineStr">
        <is>
          <t>2027-07-13</t>
        </is>
      </c>
      <c r="J152" t="inlineStr">
        <is>
          <t>Control Union</t>
        </is>
      </c>
      <c r="K152" t="inlineStr">
        <is>
          <t>Valid</t>
        </is>
      </c>
    </row>
    <row r="153">
      <c r="A153" t="inlineStr">
        <is>
          <t>1884191939574628352</t>
        </is>
      </c>
      <c r="B153" t="inlineStr">
        <is>
          <t>Nanatsujima Biomass Power LLC</t>
        </is>
      </c>
      <c r="C153" t="inlineStr">
        <is>
          <t>Japan</t>
        </is>
      </c>
      <c r="D153" t="inlineStr">
        <is>
          <t>Power company</t>
        </is>
      </c>
      <c r="E153" t="inlineStr">
        <is>
          <t>FIT/FIP</t>
        </is>
      </c>
      <c r="F153" t="inlineStr">
        <is>
          <t>GGLS1, GGLS4, GGLS6</t>
        </is>
      </c>
      <c r="G153" t="inlineStr">
        <is>
          <t>AR</t>
        </is>
      </c>
      <c r="H153" t="inlineStr">
        <is>
          <t>2022-06-03</t>
        </is>
      </c>
      <c r="I153" t="inlineStr">
        <is>
          <t>2027-06-02</t>
        </is>
      </c>
      <c r="J153" t="inlineStr">
        <is>
          <t>Control Union</t>
        </is>
      </c>
      <c r="K153" t="inlineStr">
        <is>
          <t>Valid</t>
        </is>
      </c>
    </row>
    <row r="154">
      <c r="A154" t="inlineStr">
        <is>
          <t>1884173698626224128</t>
        </is>
      </c>
      <c r="B154" t="inlineStr">
        <is>
          <t>New Energy Development Co., Ltd.</t>
        </is>
      </c>
      <c r="C154" t="inlineStr">
        <is>
          <t>Japan</t>
        </is>
      </c>
      <c r="D154" t="inlineStr">
        <is>
          <t>Trader</t>
        </is>
      </c>
      <c r="E154" t="inlineStr">
        <is>
          <t>FIT/FIP</t>
        </is>
      </c>
      <c r="F154" t="inlineStr">
        <is>
          <t>GGLS1, GGLS4</t>
        </is>
      </c>
      <c r="G154" t="inlineStr">
        <is>
          <t>AR</t>
        </is>
      </c>
      <c r="H154" t="inlineStr">
        <is>
          <t>2022-09-12</t>
        </is>
      </c>
      <c r="I154" t="inlineStr">
        <is>
          <t>2027-09-11</t>
        </is>
      </c>
      <c r="J154" t="inlineStr">
        <is>
          <t>Control Union</t>
        </is>
      </c>
      <c r="K154" t="inlineStr">
        <is>
          <t>Valid</t>
        </is>
      </c>
    </row>
    <row r="155">
      <c r="A155" t="inlineStr">
        <is>
          <t>1883266448399269888</t>
        </is>
      </c>
      <c r="B155" t="inlineStr">
        <is>
          <t>Nexeraise. Co., Ltd.</t>
        </is>
      </c>
      <c r="C155" t="inlineStr">
        <is>
          <t>Japan</t>
        </is>
      </c>
      <c r="D155" t="inlineStr">
        <is>
          <t>Trader</t>
        </is>
      </c>
      <c r="E155" t="inlineStr">
        <is>
          <t>FIT/FIP</t>
        </is>
      </c>
      <c r="F155" t="inlineStr">
        <is>
          <t>GGLS1, GGLS4</t>
        </is>
      </c>
      <c r="G155" t="inlineStr">
        <is>
          <t>AR</t>
        </is>
      </c>
      <c r="H155" t="inlineStr">
        <is>
          <t>2023-09-03</t>
        </is>
      </c>
      <c r="I155" t="inlineStr">
        <is>
          <t>2028-09-02</t>
        </is>
      </c>
      <c r="J155" t="inlineStr">
        <is>
          <t>Control Union</t>
        </is>
      </c>
      <c r="K155" t="inlineStr">
        <is>
          <t>Valid</t>
        </is>
      </c>
    </row>
    <row r="156">
      <c r="A156" t="inlineStr">
        <is>
          <t>1882873911171874816</t>
        </is>
      </c>
      <c r="B156" t="inlineStr">
        <is>
          <t>Nihon kaisui TTS kanda power Co., Ltd.</t>
        </is>
      </c>
      <c r="C156" t="inlineStr">
        <is>
          <t>Japan</t>
        </is>
      </c>
      <c r="D156" t="inlineStr">
        <is>
          <t>Trader</t>
        </is>
      </c>
      <c r="E156" t="inlineStr">
        <is>
          <t>FIT/FIP</t>
        </is>
      </c>
      <c r="F156" t="inlineStr">
        <is>
          <t>GGLS1, GGLS4</t>
        </is>
      </c>
      <c r="G156" t="inlineStr">
        <is>
          <t>AR</t>
        </is>
      </c>
      <c r="H156" t="inlineStr">
        <is>
          <t>2024-10-16</t>
        </is>
      </c>
      <c r="I156" t="inlineStr">
        <is>
          <t>2029-10-15</t>
        </is>
      </c>
      <c r="J156" t="inlineStr">
        <is>
          <t>Control Union</t>
        </is>
      </c>
      <c r="K156" t="inlineStr">
        <is>
          <t>Valid</t>
        </is>
      </c>
    </row>
    <row r="157">
      <c r="A157" t="inlineStr">
        <is>
          <t>1884150885987123200</t>
        </is>
      </c>
      <c r="B157" t="inlineStr">
        <is>
          <t>Nihonkaisui Co., Ltd.</t>
        </is>
      </c>
      <c r="C157" t="inlineStr">
        <is>
          <t>Japan</t>
        </is>
      </c>
      <c r="D157" t="inlineStr">
        <is>
          <t>Trader</t>
        </is>
      </c>
      <c r="E157" t="inlineStr">
        <is>
          <t>FIT/FIP</t>
        </is>
      </c>
      <c r="F157" t="inlineStr">
        <is>
          <t>GGLS1, GGLS4</t>
        </is>
      </c>
      <c r="G157" t="inlineStr">
        <is>
          <t>AR</t>
        </is>
      </c>
      <c r="H157" t="inlineStr">
        <is>
          <t>2022-11-15</t>
        </is>
      </c>
      <c r="I157" t="inlineStr">
        <is>
          <t>2027-11-14</t>
        </is>
      </c>
      <c r="J157" t="inlineStr">
        <is>
          <t>Control Union</t>
        </is>
      </c>
      <c r="K157" t="inlineStr">
        <is>
          <t>Valid</t>
        </is>
      </c>
    </row>
    <row r="158">
      <c r="A158" t="inlineStr">
        <is>
          <t>1884179315415842816</t>
        </is>
      </c>
      <c r="B158" t="inlineStr">
        <is>
          <t>Nippon Sumatra Bio Masse Co., Ltd.</t>
        </is>
      </c>
      <c r="C158" t="inlineStr">
        <is>
          <t>Japan</t>
        </is>
      </c>
      <c r="D158" t="inlineStr">
        <is>
          <t>Trader</t>
        </is>
      </c>
      <c r="E158" t="inlineStr">
        <is>
          <t>FIT/FIP</t>
        </is>
      </c>
      <c r="F158" t="inlineStr">
        <is>
          <t>GGLS1, GGLS4</t>
        </is>
      </c>
      <c r="G158" t="inlineStr">
        <is>
          <t>AR</t>
        </is>
      </c>
      <c r="H158" t="inlineStr">
        <is>
          <t>2022-08-22</t>
        </is>
      </c>
      <c r="I158" t="inlineStr">
        <is>
          <t>2027-08-21</t>
        </is>
      </c>
      <c r="J158" t="inlineStr">
        <is>
          <t>Control Union</t>
        </is>
      </c>
      <c r="K158" t="inlineStr">
        <is>
          <t>Valid</t>
        </is>
      </c>
    </row>
    <row r="159">
      <c r="A159" t="inlineStr">
        <is>
          <t>1884181496936267776</t>
        </is>
      </c>
      <c r="B159" t="inlineStr">
        <is>
          <t>Nissin Shoji Co., Ltd.</t>
        </is>
      </c>
      <c r="C159" t="inlineStr">
        <is>
          <t>Japan</t>
        </is>
      </c>
      <c r="D159" t="inlineStr">
        <is>
          <t>Trader</t>
        </is>
      </c>
      <c r="E159" t="inlineStr">
        <is>
          <t>FIT/FIP</t>
        </is>
      </c>
      <c r="F159" t="inlineStr">
        <is>
          <t>GGLS1, GGLS4</t>
        </is>
      </c>
      <c r="G159" t="inlineStr">
        <is>
          <t>AR</t>
        </is>
      </c>
      <c r="H159" t="inlineStr">
        <is>
          <t>2022-08-15</t>
        </is>
      </c>
      <c r="I159" t="inlineStr">
        <is>
          <t>2027-08-14</t>
        </is>
      </c>
      <c r="J159" t="inlineStr">
        <is>
          <t>Control Union</t>
        </is>
      </c>
      <c r="K159" t="inlineStr">
        <is>
          <t>Valid</t>
        </is>
      </c>
    </row>
    <row r="160">
      <c r="A160" t="inlineStr">
        <is>
          <t>1884141202681364480</t>
        </is>
      </c>
      <c r="B160" t="inlineStr">
        <is>
          <t>OFUNATO POWER Inc.</t>
        </is>
      </c>
      <c r="C160" t="inlineStr">
        <is>
          <t>Japan</t>
        </is>
      </c>
      <c r="D160" t="inlineStr">
        <is>
          <t>Power company</t>
        </is>
      </c>
      <c r="E160" t="inlineStr">
        <is>
          <t>FIT/FIP</t>
        </is>
      </c>
      <c r="F160" t="inlineStr">
        <is>
          <t>GGLS1, GGLS4, GGLS6</t>
        </is>
      </c>
      <c r="G160" t="inlineStr">
        <is>
          <t>AR, WB</t>
        </is>
      </c>
      <c r="H160" t="inlineStr">
        <is>
          <t>2023-02-06</t>
        </is>
      </c>
      <c r="I160" t="inlineStr">
        <is>
          <t>2028-02-05</t>
        </is>
      </c>
      <c r="J160" t="inlineStr">
        <is>
          <t>Control Union</t>
        </is>
      </c>
      <c r="K160" t="inlineStr">
        <is>
          <t>Revoked</t>
        </is>
      </c>
    </row>
    <row r="161">
      <c r="A161" t="inlineStr">
        <is>
          <t>1884141202681364480</t>
        </is>
      </c>
      <c r="B161" t="inlineStr">
        <is>
          <t>OFUNATO POWER Inc.</t>
        </is>
      </c>
      <c r="C161" t="inlineStr">
        <is>
          <t>Japan</t>
        </is>
      </c>
      <c r="D161" t="inlineStr">
        <is>
          <t>Power company</t>
        </is>
      </c>
      <c r="E161" t="inlineStr">
        <is>
          <t>FIT/FIP</t>
        </is>
      </c>
      <c r="F161" t="inlineStr">
        <is>
          <t>GGLS1, GGLS4, GGLS6</t>
        </is>
      </c>
      <c r="G161" t="inlineStr">
        <is>
          <t>AR</t>
        </is>
      </c>
      <c r="H161" t="inlineStr">
        <is>
          <t>2023-02-06</t>
        </is>
      </c>
      <c r="I161" t="inlineStr">
        <is>
          <t>2028-02-05</t>
        </is>
      </c>
      <c r="J161" t="inlineStr">
        <is>
          <t>Control Union</t>
        </is>
      </c>
      <c r="K161" t="inlineStr">
        <is>
          <t>Valid</t>
        </is>
      </c>
    </row>
    <row r="162">
      <c r="A162" t="inlineStr">
        <is>
          <t>2031918377169059840</t>
        </is>
      </c>
      <c r="B162" t="inlineStr">
        <is>
          <t>OHARA &amp; CO.,LTD</t>
        </is>
      </c>
      <c r="C162" t="inlineStr">
        <is>
          <t>Japan</t>
        </is>
      </c>
      <c r="D162" t="inlineStr">
        <is>
          <t>Trader</t>
        </is>
      </c>
      <c r="E162" t="inlineStr">
        <is>
          <t>FIT/FIP</t>
        </is>
      </c>
      <c r="F162" t="inlineStr">
        <is>
          <t>GGLS1, GGLS4</t>
        </is>
      </c>
      <c r="G162" t="inlineStr">
        <is>
          <t>AR, WB</t>
        </is>
      </c>
      <c r="H162" t="inlineStr">
        <is>
          <t>2026-03-05</t>
        </is>
      </c>
      <c r="I162" t="inlineStr">
        <is>
          <t>2031-03-04</t>
        </is>
      </c>
      <c r="J162" t="inlineStr">
        <is>
          <t>Control Union</t>
        </is>
      </c>
      <c r="K162" t="inlineStr">
        <is>
          <t>Valid</t>
        </is>
      </c>
    </row>
    <row r="163">
      <c r="A163" t="inlineStr">
        <is>
          <t>2031918377169059840</t>
        </is>
      </c>
      <c r="B163" t="inlineStr">
        <is>
          <t>OHARA &amp; CO.,LTD</t>
        </is>
      </c>
      <c r="C163" t="inlineStr">
        <is>
          <t>Japan</t>
        </is>
      </c>
      <c r="D163" t="inlineStr">
        <is>
          <t>Trader</t>
        </is>
      </c>
      <c r="E163" t="inlineStr">
        <is>
          <t>FIT/FIP</t>
        </is>
      </c>
      <c r="F163" t="inlineStr">
        <is>
          <t>GGLS1, GGLS4</t>
        </is>
      </c>
      <c r="G163" t="inlineStr">
        <is>
          <t>AR, WB</t>
        </is>
      </c>
      <c r="H163" t="inlineStr">
        <is>
          <t>2026-03-05</t>
        </is>
      </c>
      <c r="I163" t="inlineStr">
        <is>
          <t>2031-03-04</t>
        </is>
      </c>
      <c r="J163" t="inlineStr">
        <is>
          <t>Control Union</t>
        </is>
      </c>
      <c r="K163" t="inlineStr">
        <is>
          <t>Valid</t>
        </is>
      </c>
    </row>
    <row r="164">
      <c r="A164" t="inlineStr">
        <is>
          <t>1883536923654356992</t>
        </is>
      </c>
      <c r="B164" t="inlineStr">
        <is>
          <t>OPTIMUM TRADING</t>
        </is>
      </c>
      <c r="C164" t="inlineStr">
        <is>
          <t>South Korea</t>
        </is>
      </c>
      <c r="D164" t="inlineStr">
        <is>
          <t>Trader</t>
        </is>
      </c>
      <c r="E164" t="inlineStr">
        <is>
          <t>FIT/FIP</t>
        </is>
      </c>
      <c r="F164" t="inlineStr">
        <is>
          <t>GGLS1, GGLS4</t>
        </is>
      </c>
      <c r="G164" t="inlineStr">
        <is>
          <t>AR, WB</t>
        </is>
      </c>
      <c r="H164" t="inlineStr">
        <is>
          <t>2024-06-14</t>
        </is>
      </c>
      <c r="I164" t="inlineStr">
        <is>
          <t>2029-06-13</t>
        </is>
      </c>
      <c r="J164" t="inlineStr">
        <is>
          <t>PT PCU Indonesia</t>
        </is>
      </c>
      <c r="K164" t="inlineStr">
        <is>
          <t>Suspended</t>
        </is>
      </c>
    </row>
    <row r="165">
      <c r="A165" t="inlineStr">
        <is>
          <t>1950386681068650496</t>
        </is>
      </c>
      <c r="B165" t="inlineStr">
        <is>
          <t>OPUS INTER TRADING PTE LTD</t>
        </is>
      </c>
      <c r="C165" t="inlineStr">
        <is>
          <t>Singapore</t>
        </is>
      </c>
      <c r="D165" t="inlineStr">
        <is>
          <t>Trader</t>
        </is>
      </c>
      <c r="E165" t="inlineStr">
        <is>
          <t>FIT/FIP</t>
        </is>
      </c>
      <c r="F165" t="inlineStr">
        <is>
          <t>GGLS1, GGLS4</t>
        </is>
      </c>
      <c r="G165" t="inlineStr">
        <is>
          <t>AR</t>
        </is>
      </c>
      <c r="H165" t="inlineStr">
        <is>
          <t>2025-07-25</t>
        </is>
      </c>
      <c r="I165" t="inlineStr">
        <is>
          <t>2030-07-24</t>
        </is>
      </c>
      <c r="J165" t="inlineStr">
        <is>
          <t>PT Carsurin Certiva International</t>
        </is>
      </c>
      <c r="K165" t="inlineStr">
        <is>
          <t>Valid</t>
        </is>
      </c>
    </row>
    <row r="166">
      <c r="A166" t="inlineStr">
        <is>
          <t>1958798413076103168</t>
        </is>
      </c>
      <c r="B166" t="inlineStr">
        <is>
          <t>ORACLE TRADING CO., LTD.</t>
        </is>
      </c>
      <c r="C166" t="inlineStr">
        <is>
          <t>Thailand</t>
        </is>
      </c>
      <c r="D166" t="inlineStr">
        <is>
          <t>Trader</t>
        </is>
      </c>
      <c r="E166" t="inlineStr">
        <is>
          <t>FIT/FIP</t>
        </is>
      </c>
      <c r="F166" t="inlineStr">
        <is>
          <t>GGLS1, GGLS4</t>
        </is>
      </c>
      <c r="G166" t="inlineStr">
        <is>
          <t>AR</t>
        </is>
      </c>
      <c r="H166" t="inlineStr">
        <is>
          <t>2025-04-09</t>
        </is>
      </c>
      <c r="I166" t="inlineStr">
        <is>
          <t>2030-04-08</t>
        </is>
      </c>
      <c r="J166" t="inlineStr">
        <is>
          <t>PT Carsurin Certiva International</t>
        </is>
      </c>
      <c r="K166" t="inlineStr">
        <is>
          <t>Valid</t>
        </is>
      </c>
    </row>
    <row r="167">
      <c r="A167" t="inlineStr">
        <is>
          <t>1884189717121990656</t>
        </is>
      </c>
      <c r="B167" t="inlineStr">
        <is>
          <t>OVOL NEW ENERGY SDN BHD</t>
        </is>
      </c>
      <c r="C167" t="inlineStr">
        <is>
          <t>Malaysia</t>
        </is>
      </c>
      <c r="D167" t="inlineStr">
        <is>
          <t>First collector</t>
        </is>
      </c>
      <c r="E167" t="inlineStr">
        <is>
          <t>FIT/FIP</t>
        </is>
      </c>
      <c r="F167" t="inlineStr">
        <is>
          <t>GGLS1, GGLS4</t>
        </is>
      </c>
      <c r="G167" t="inlineStr">
        <is>
          <t>AR</t>
        </is>
      </c>
      <c r="H167" t="inlineStr">
        <is>
          <t>2022-06-24</t>
        </is>
      </c>
      <c r="I167" t="inlineStr">
        <is>
          <t>2027-06-23</t>
        </is>
      </c>
      <c r="J167" t="inlineStr">
        <is>
          <t>Control Union</t>
        </is>
      </c>
      <c r="K167" t="inlineStr">
        <is>
          <t>Valid</t>
        </is>
      </c>
    </row>
    <row r="168">
      <c r="A168" t="inlineStr">
        <is>
          <t>1895392816205398016</t>
        </is>
      </c>
      <c r="B168" t="inlineStr">
        <is>
          <t>Oita Biomass Energy  LLC</t>
        </is>
      </c>
      <c r="C168" t="inlineStr">
        <is>
          <t>Japan</t>
        </is>
      </c>
      <c r="D168" t="inlineStr">
        <is>
          <t>Power company</t>
        </is>
      </c>
      <c r="E168" t="inlineStr">
        <is>
          <t>FIT/FIP</t>
        </is>
      </c>
      <c r="F168" t="inlineStr">
        <is>
          <t>GGLS1, GGLS4, GGLS6</t>
        </is>
      </c>
      <c r="G168" t="inlineStr">
        <is>
          <t>AR</t>
        </is>
      </c>
      <c r="H168" t="inlineStr">
        <is>
          <t>2022-10-02</t>
        </is>
      </c>
      <c r="I168" t="inlineStr">
        <is>
          <t>2027-10-01</t>
        </is>
      </c>
      <c r="J168" t="inlineStr">
        <is>
          <t>Control Union</t>
        </is>
      </c>
      <c r="K168" t="inlineStr">
        <is>
          <t>Valid</t>
        </is>
      </c>
    </row>
    <row r="169">
      <c r="A169" t="inlineStr">
        <is>
          <t>1884185653885796352</t>
        </is>
      </c>
      <c r="B169" t="inlineStr">
        <is>
          <t>Oji Forest &amp; Products Co., Ltd.</t>
        </is>
      </c>
      <c r="C169" t="inlineStr">
        <is>
          <t>Japan</t>
        </is>
      </c>
      <c r="D169" t="inlineStr">
        <is>
          <t>Trader</t>
        </is>
      </c>
      <c r="E169" t="inlineStr">
        <is>
          <t>FIT/FIP</t>
        </is>
      </c>
      <c r="F169" t="inlineStr">
        <is>
          <t>GGLS1, GGLS4</t>
        </is>
      </c>
      <c r="G169" t="inlineStr">
        <is>
          <t>AR</t>
        </is>
      </c>
      <c r="H169" t="inlineStr">
        <is>
          <t>2022-07-22</t>
        </is>
      </c>
      <c r="I169" t="inlineStr">
        <is>
          <t>2027-07-21</t>
        </is>
      </c>
      <c r="J169" t="inlineStr">
        <is>
          <t>Control Union</t>
        </is>
      </c>
      <c r="K169" t="inlineStr">
        <is>
          <t>Valid</t>
        </is>
      </c>
    </row>
    <row r="170">
      <c r="A170" t="inlineStr">
        <is>
          <t>1884138699185192960</t>
        </is>
      </c>
      <c r="B170" t="inlineStr">
        <is>
          <t>Okinawa Uruma New Energy KK.</t>
        </is>
      </c>
      <c r="C170" t="inlineStr">
        <is>
          <t>Japan</t>
        </is>
      </c>
      <c r="D170" t="inlineStr">
        <is>
          <t>Power company</t>
        </is>
      </c>
      <c r="E170" t="inlineStr">
        <is>
          <t>FIT/FIP</t>
        </is>
      </c>
      <c r="F170" t="inlineStr">
        <is>
          <t>GGLS1, GGLS4, GGLS6</t>
        </is>
      </c>
      <c r="G170" t="inlineStr">
        <is>
          <t>AR, WB</t>
        </is>
      </c>
      <c r="H170" t="inlineStr">
        <is>
          <t>2023-03-15</t>
        </is>
      </c>
      <c r="I170" t="inlineStr">
        <is>
          <t>2028-03-14</t>
        </is>
      </c>
      <c r="J170" t="inlineStr">
        <is>
          <t>Control Union</t>
        </is>
      </c>
      <c r="K170" t="inlineStr">
        <is>
          <t>Valid</t>
        </is>
      </c>
    </row>
    <row r="171">
      <c r="A171" t="inlineStr">
        <is>
          <t>1883137732125917184</t>
        </is>
      </c>
      <c r="B171" t="inlineStr">
        <is>
          <t>Omaezaki-ko Biomass Energy G.K.</t>
        </is>
      </c>
      <c r="C171" t="inlineStr">
        <is>
          <t>Japan</t>
        </is>
      </c>
      <c r="D171" t="inlineStr">
        <is>
          <t>Power company</t>
        </is>
      </c>
      <c r="E171" t="inlineStr">
        <is>
          <t>FIT/FIP</t>
        </is>
      </c>
      <c r="F171" t="inlineStr">
        <is>
          <t>GGLS1, GGLS4, GGLS6</t>
        </is>
      </c>
      <c r="G171" t="inlineStr">
        <is>
          <t>AR</t>
        </is>
      </c>
      <c r="H171" t="inlineStr">
        <is>
          <t>2024-02-08</t>
        </is>
      </c>
      <c r="I171" t="inlineStr">
        <is>
          <t>2029-02-07</t>
        </is>
      </c>
      <c r="J171" t="inlineStr">
        <is>
          <t>Control Union</t>
        </is>
      </c>
      <c r="K171" t="inlineStr">
        <is>
          <t>Valid</t>
        </is>
      </c>
    </row>
    <row r="172">
      <c r="A172" t="inlineStr">
        <is>
          <t>1912348415191154688</t>
        </is>
      </c>
      <c r="B172" t="inlineStr">
        <is>
          <t>P. C. PALM (2550) CO., LTD</t>
        </is>
      </c>
      <c r="C172" t="inlineStr">
        <is>
          <t>Thailand</t>
        </is>
      </c>
      <c r="D172" t="inlineStr">
        <is>
          <t>First collector, Trader</t>
        </is>
      </c>
      <c r="E172" t="inlineStr">
        <is>
          <t>FIT/FIP</t>
        </is>
      </c>
      <c r="F172" t="inlineStr">
        <is>
          <t>GGLS1, GGLS4</t>
        </is>
      </c>
      <c r="G172" t="inlineStr">
        <is>
          <t>AR</t>
        </is>
      </c>
      <c r="H172" t="inlineStr">
        <is>
          <t>2025-01-08</t>
        </is>
      </c>
      <c r="I172" t="inlineStr">
        <is>
          <t>2030-01-07</t>
        </is>
      </c>
      <c r="J172" t="inlineStr">
        <is>
          <t>Control Union</t>
        </is>
      </c>
      <c r="K172" t="inlineStr">
        <is>
          <t>Valid</t>
        </is>
      </c>
    </row>
    <row r="173">
      <c r="A173" t="inlineStr">
        <is>
          <t>1886312641920499712</t>
        </is>
      </c>
      <c r="B173" t="inlineStr">
        <is>
          <t>PACO TRADING COMPANY LIMITED</t>
        </is>
      </c>
      <c r="C173" t="inlineStr">
        <is>
          <t>Thailand</t>
        </is>
      </c>
      <c r="D173" t="inlineStr">
        <is>
          <t>First collector, Trader</t>
        </is>
      </c>
      <c r="E173" t="inlineStr">
        <is>
          <t>FIT/FIP</t>
        </is>
      </c>
      <c r="F173" t="inlineStr">
        <is>
          <t>GGLS1, GGLS4</t>
        </is>
      </c>
      <c r="G173" t="inlineStr">
        <is>
          <t>AR, Cat 5</t>
        </is>
      </c>
      <c r="H173" t="inlineStr">
        <is>
          <t>2025-01-31</t>
        </is>
      </c>
      <c r="I173" t="inlineStr">
        <is>
          <t>2030-01-30</t>
        </is>
      </c>
      <c r="J173" t="inlineStr">
        <is>
          <t>Control Union</t>
        </is>
      </c>
      <c r="K173" t="inlineStr">
        <is>
          <t>Valid</t>
        </is>
      </c>
    </row>
    <row r="174">
      <c r="A174" t="inlineStr">
        <is>
          <t>1883531038873878528</t>
        </is>
      </c>
      <c r="B174" t="inlineStr">
        <is>
          <t>PALAWALY GRACE SDN BHD</t>
        </is>
      </c>
      <c r="C174" t="inlineStr">
        <is>
          <t>Malaysia</t>
        </is>
      </c>
      <c r="D174" t="inlineStr">
        <is>
          <t>First collector</t>
        </is>
      </c>
      <c r="E174" t="inlineStr">
        <is>
          <t>FIT/FIP</t>
        </is>
      </c>
      <c r="F174" t="inlineStr">
        <is>
          <t>GGLS1, GGLS4</t>
        </is>
      </c>
      <c r="G174" t="inlineStr">
        <is>
          <t>AR</t>
        </is>
      </c>
      <c r="H174" t="inlineStr">
        <is>
          <t>2024-07-24</t>
        </is>
      </c>
      <c r="I174" t="inlineStr">
        <is>
          <t>2029-07-23</t>
        </is>
      </c>
      <c r="J174" t="inlineStr">
        <is>
          <t>Control Union</t>
        </is>
      </c>
      <c r="K174" t="inlineStr">
        <is>
          <t>Revoked</t>
        </is>
      </c>
    </row>
    <row r="175">
      <c r="A175" t="inlineStr">
        <is>
          <t>1883166942869585920</t>
        </is>
      </c>
      <c r="B175" t="inlineStr">
        <is>
          <t>PHATTANAPHAN CHEMITECH COMPANY LIMITED</t>
        </is>
      </c>
      <c r="C175" t="inlineStr">
        <is>
          <t>Thailand</t>
        </is>
      </c>
      <c r="D175" t="inlineStr">
        <is>
          <t>First collector, Trader</t>
        </is>
      </c>
      <c r="E175" t="inlineStr">
        <is>
          <t>FIT/FIP</t>
        </is>
      </c>
      <c r="F175" t="inlineStr">
        <is>
          <t>GGLS1, GGLS4</t>
        </is>
      </c>
      <c r="G175" t="inlineStr">
        <is>
          <t>WB</t>
        </is>
      </c>
      <c r="H175" t="inlineStr">
        <is>
          <t>2023-12-23</t>
        </is>
      </c>
      <c r="I175" t="inlineStr">
        <is>
          <t>2028-12-22</t>
        </is>
      </c>
      <c r="J175" t="inlineStr">
        <is>
          <t>PT Intertek Utama Services</t>
        </is>
      </c>
      <c r="K175" t="inlineStr">
        <is>
          <t>Valid</t>
        </is>
      </c>
    </row>
    <row r="176">
      <c r="A176" t="inlineStr">
        <is>
          <t>1883532098438955008</t>
        </is>
      </c>
      <c r="B176" t="inlineStr">
        <is>
          <t>PIMPINAN MEGAMAS SDN BHD</t>
        </is>
      </c>
      <c r="C176" t="inlineStr">
        <is>
          <t>Malaysia</t>
        </is>
      </c>
      <c r="D176" t="inlineStr">
        <is>
          <t>First collector</t>
        </is>
      </c>
      <c r="E176" t="inlineStr">
        <is>
          <t>FIT/FIP</t>
        </is>
      </c>
      <c r="F176" t="inlineStr">
        <is>
          <t>GGLS1, GGLS4</t>
        </is>
      </c>
      <c r="G176" t="inlineStr">
        <is>
          <t>AR</t>
        </is>
      </c>
      <c r="H176" t="inlineStr">
        <is>
          <t>2024-07-12</t>
        </is>
      </c>
      <c r="I176" t="inlineStr">
        <is>
          <t>2029-07-11</t>
        </is>
      </c>
      <c r="J176" t="inlineStr">
        <is>
          <t>Control Union</t>
        </is>
      </c>
      <c r="K176" t="inlineStr">
        <is>
          <t>Valid</t>
        </is>
      </c>
    </row>
    <row r="177">
      <c r="A177" t="inlineStr">
        <is>
          <t>1886333606595395584</t>
        </is>
      </c>
      <c r="B177" t="inlineStr">
        <is>
          <t>PONTIAN FICO PLANTATION SDN BHD</t>
        </is>
      </c>
      <c r="C177" t="inlineStr">
        <is>
          <t>Malaysia</t>
        </is>
      </c>
      <c r="D177" t="inlineStr">
        <is>
          <t>Biomass producer</t>
        </is>
      </c>
      <c r="E177" t="inlineStr">
        <is>
          <t>FIT/FIP</t>
        </is>
      </c>
      <c r="F177" t="inlineStr">
        <is>
          <t>GGLS1, GGLS4</t>
        </is>
      </c>
      <c r="G177" t="inlineStr">
        <is>
          <t>AR</t>
        </is>
      </c>
      <c r="H177" t="inlineStr">
        <is>
          <t>2024-12-31</t>
        </is>
      </c>
      <c r="I177" t="inlineStr">
        <is>
          <t>2029-12-30</t>
        </is>
      </c>
      <c r="J177" t="inlineStr">
        <is>
          <t>Trans Certification &amp; Inspection SDN. BHD.</t>
        </is>
      </c>
      <c r="K177" t="inlineStr">
        <is>
          <t>Valid</t>
        </is>
      </c>
    </row>
    <row r="178">
      <c r="A178" t="inlineStr">
        <is>
          <t>1882849490113658880</t>
        </is>
      </c>
      <c r="B178" t="inlineStr">
        <is>
          <t>PRIME GLOBAL.CO.LTD.</t>
        </is>
      </c>
      <c r="C178" t="inlineStr">
        <is>
          <t>South Korea</t>
        </is>
      </c>
      <c r="D178" t="inlineStr">
        <is>
          <t>Trader</t>
        </is>
      </c>
      <c r="E178" t="inlineStr">
        <is>
          <t>FIT/FIP</t>
        </is>
      </c>
      <c r="F178" t="inlineStr">
        <is>
          <t>GGLS1, GGLS4</t>
        </is>
      </c>
      <c r="G178" t="inlineStr">
        <is>
          <t>AR</t>
        </is>
      </c>
      <c r="H178" t="inlineStr">
        <is>
          <t>2024-04-24</t>
        </is>
      </c>
      <c r="I178" t="inlineStr">
        <is>
          <t>2029-04-23</t>
        </is>
      </c>
      <c r="J178" t="inlineStr">
        <is>
          <t>Control Union</t>
        </is>
      </c>
      <c r="K178" t="inlineStr">
        <is>
          <t>Valid</t>
        </is>
      </c>
    </row>
    <row r="179">
      <c r="A179" t="inlineStr">
        <is>
          <t>1912343261536583680</t>
        </is>
      </c>
      <c r="B179" t="inlineStr">
        <is>
          <t>PT ALPINE RENEWABLES COMMODITIES</t>
        </is>
      </c>
      <c r="C179" t="inlineStr">
        <is>
          <t>Indonesia</t>
        </is>
      </c>
      <c r="D179" t="inlineStr">
        <is>
          <t>First collector, Trader</t>
        </is>
      </c>
      <c r="E179" t="inlineStr">
        <is>
          <t>FIT/FIP</t>
        </is>
      </c>
      <c r="F179" t="inlineStr">
        <is>
          <t>GGLS1, GGLS4</t>
        </is>
      </c>
      <c r="G179" t="inlineStr">
        <is>
          <t>AR</t>
        </is>
      </c>
      <c r="H179" t="inlineStr">
        <is>
          <t>2024-04-03</t>
        </is>
      </c>
      <c r="I179" t="inlineStr">
        <is>
          <t>2029-04-02</t>
        </is>
      </c>
      <c r="J179" t="inlineStr">
        <is>
          <t>BM Certification</t>
        </is>
      </c>
      <c r="K179" t="inlineStr">
        <is>
          <t>Revoked</t>
        </is>
      </c>
    </row>
    <row r="180">
      <c r="A180" t="inlineStr">
        <is>
          <t>1912335395425615872</t>
        </is>
      </c>
      <c r="B180" t="inlineStr">
        <is>
          <t>PT ASIA BIO HUB INDONESIA</t>
        </is>
      </c>
      <c r="C180" t="inlineStr">
        <is>
          <t>Indonesia</t>
        </is>
      </c>
      <c r="D180" t="inlineStr">
        <is>
          <t>First collector</t>
        </is>
      </c>
      <c r="E180" t="inlineStr">
        <is>
          <t>FIT/FIP</t>
        </is>
      </c>
      <c r="F180" t="inlineStr">
        <is>
          <t>GGLS1, GGLS4</t>
        </is>
      </c>
      <c r="G180" t="inlineStr">
        <is>
          <t>AR</t>
        </is>
      </c>
      <c r="H180" t="inlineStr">
        <is>
          <t>2022-08-09</t>
        </is>
      </c>
      <c r="I180" t="inlineStr">
        <is>
          <t>2027-08-08</t>
        </is>
      </c>
      <c r="J180" t="inlineStr">
        <is>
          <t>PT Carsurin Certiva International</t>
        </is>
      </c>
      <c r="K180" t="inlineStr">
        <is>
          <t>Valid</t>
        </is>
      </c>
    </row>
    <row r="181">
      <c r="A181" t="inlineStr">
        <is>
          <t>2013073651288506368</t>
        </is>
      </c>
      <c r="B181" t="inlineStr">
        <is>
          <t>PT Aditya Agroindo</t>
        </is>
      </c>
      <c r="C181" t="inlineStr">
        <is>
          <t>Indonesia</t>
        </is>
      </c>
      <c r="D181" t="inlineStr">
        <is>
          <t>Biomass producer</t>
        </is>
      </c>
      <c r="E181" t="inlineStr">
        <is>
          <t>FIT/FIP</t>
        </is>
      </c>
      <c r="F181" t="inlineStr">
        <is>
          <t>GGLS1, GGLS4</t>
        </is>
      </c>
      <c r="G181" t="inlineStr">
        <is>
          <t>AR, Cat 4, Cat 5</t>
        </is>
      </c>
      <c r="H181" t="inlineStr">
        <is>
          <t>2025-12-22</t>
        </is>
      </c>
      <c r="I181" t="inlineStr">
        <is>
          <t>2030-12-21</t>
        </is>
      </c>
      <c r="J181" t="inlineStr">
        <is>
          <t>PT Sucofindo</t>
        </is>
      </c>
      <c r="K181" t="inlineStr">
        <is>
          <t>Valid</t>
        </is>
      </c>
    </row>
    <row r="182">
      <c r="A182" t="inlineStr">
        <is>
          <t>1873633659198636032</t>
        </is>
      </c>
      <c r="B182" t="inlineStr">
        <is>
          <t>PT Agro Abadi</t>
        </is>
      </c>
      <c r="C182" t="inlineStr">
        <is>
          <t>Indonesia</t>
        </is>
      </c>
      <c r="D182" t="inlineStr">
        <is>
          <t>First collector</t>
        </is>
      </c>
      <c r="E182" t="inlineStr">
        <is>
          <t>FIT/FIP</t>
        </is>
      </c>
      <c r="F182" t="inlineStr">
        <is>
          <t>GGLS1, GGLS4</t>
        </is>
      </c>
      <c r="G182" t="inlineStr">
        <is>
          <t>AR, Cat 5</t>
        </is>
      </c>
      <c r="H182" t="inlineStr">
        <is>
          <t>2024-01-17</t>
        </is>
      </c>
      <c r="I182" t="inlineStr">
        <is>
          <t>2029-01-16</t>
        </is>
      </c>
      <c r="J182" t="inlineStr">
        <is>
          <t>PT SBC Asia Sertifikasi</t>
        </is>
      </c>
      <c r="K182" t="inlineStr">
        <is>
          <t>Valid</t>
        </is>
      </c>
    </row>
    <row r="183">
      <c r="A183" t="inlineStr">
        <is>
          <t>1892426328150376448</t>
        </is>
      </c>
      <c r="B183" t="inlineStr">
        <is>
          <t>PT Alam Raya Kalimasada</t>
        </is>
      </c>
      <c r="C183" t="inlineStr">
        <is>
          <t>Indonesia</t>
        </is>
      </c>
      <c r="D183" t="inlineStr">
        <is>
          <t>Trader</t>
        </is>
      </c>
      <c r="E183" t="inlineStr">
        <is>
          <t>FIT/FIP</t>
        </is>
      </c>
      <c r="F183" t="inlineStr">
        <is>
          <t>GGLS1, GGLS4</t>
        </is>
      </c>
      <c r="G183" t="inlineStr">
        <is>
          <t>AR, Cat 5</t>
        </is>
      </c>
      <c r="H183" t="inlineStr">
        <is>
          <t>2024-11-04</t>
        </is>
      </c>
      <c r="I183" t="inlineStr">
        <is>
          <t>2029-11-03</t>
        </is>
      </c>
      <c r="J183" t="inlineStr">
        <is>
          <t>PT Sucofindo</t>
        </is>
      </c>
      <c r="K183" t="inlineStr">
        <is>
          <t>Revoked</t>
        </is>
      </c>
    </row>
    <row r="184">
      <c r="A184" t="inlineStr">
        <is>
          <t>2079873276435234816</t>
        </is>
      </c>
      <c r="B184" t="inlineStr">
        <is>
          <t>PT Alpine Resources Commodities</t>
        </is>
      </c>
      <c r="C184" t="inlineStr">
        <is>
          <t>Indonesia</t>
        </is>
      </c>
      <c r="D184" t="inlineStr">
        <is>
          <t>First collector</t>
        </is>
      </c>
      <c r="E184" t="inlineStr">
        <is>
          <t>FIT/FIP</t>
        </is>
      </c>
      <c r="F184" t="inlineStr">
        <is>
          <t>GGLS1, GGLS4</t>
        </is>
      </c>
      <c r="G184" t="inlineStr">
        <is>
          <t>AR</t>
        </is>
      </c>
      <c r="H184" t="inlineStr">
        <is>
          <t>2026-06-18</t>
        </is>
      </c>
      <c r="I184" t="inlineStr">
        <is>
          <t>2031-06-17</t>
        </is>
      </c>
      <c r="J184" t="inlineStr">
        <is>
          <t>BM Certification</t>
        </is>
      </c>
      <c r="K184" t="inlineStr">
        <is>
          <t>Valid</t>
        </is>
      </c>
    </row>
    <row r="185">
      <c r="A185" t="inlineStr">
        <is>
          <t>2013795555322363904</t>
        </is>
      </c>
      <c r="B185" t="inlineStr">
        <is>
          <t>PT Archipelago Timur Abadi</t>
        </is>
      </c>
      <c r="C185" t="inlineStr">
        <is>
          <t>Indonesia</t>
        </is>
      </c>
      <c r="D185" t="inlineStr">
        <is>
          <t>Biomass producer</t>
        </is>
      </c>
      <c r="E185" t="inlineStr">
        <is>
          <t>FIT/FIP</t>
        </is>
      </c>
      <c r="F185" t="inlineStr">
        <is>
          <t>GGLS1, GGLS4</t>
        </is>
      </c>
      <c r="G185" t="inlineStr">
        <is>
          <t>AR, Cat 4, Cat 5</t>
        </is>
      </c>
      <c r="H185" t="inlineStr">
        <is>
          <t>2025-12-15</t>
        </is>
      </c>
      <c r="I185" t="inlineStr">
        <is>
          <t>2030-12-14</t>
        </is>
      </c>
      <c r="J185" t="inlineStr">
        <is>
          <t>PT Sucofindo</t>
        </is>
      </c>
      <c r="K185" t="inlineStr">
        <is>
          <t>Valid</t>
        </is>
      </c>
    </row>
    <row r="186">
      <c r="A186" t="inlineStr">
        <is>
          <t>1879785796588797952</t>
        </is>
      </c>
      <c r="B186" t="inlineStr">
        <is>
          <t>PT Arya Rama Persada</t>
        </is>
      </c>
      <c r="C186" t="inlineStr">
        <is>
          <t>Indonesia</t>
        </is>
      </c>
      <c r="D186" t="inlineStr">
        <is>
          <t>First collector</t>
        </is>
      </c>
      <c r="E186" t="inlineStr">
        <is>
          <t>FIT/FIP</t>
        </is>
      </c>
      <c r="F186" t="inlineStr">
        <is>
          <t>GGLS1, GGLS4</t>
        </is>
      </c>
      <c r="G186" t="inlineStr">
        <is>
          <t>AR, Cat 5</t>
        </is>
      </c>
      <c r="H186" t="inlineStr">
        <is>
          <t>2024-03-27</t>
        </is>
      </c>
      <c r="I186" t="inlineStr">
        <is>
          <t>2029-03-26</t>
        </is>
      </c>
      <c r="J186" t="inlineStr">
        <is>
          <t>PT SBC Asia Sertifikasi</t>
        </is>
      </c>
      <c r="K186" t="inlineStr">
        <is>
          <t>Valid</t>
        </is>
      </c>
    </row>
    <row r="187">
      <c r="A187" t="inlineStr">
        <is>
          <t>1912349279964364800</t>
        </is>
      </c>
      <c r="B187" t="inlineStr">
        <is>
          <t>PT BANUA ENERGI SENTOSA</t>
        </is>
      </c>
      <c r="C187" t="inlineStr">
        <is>
          <t>Indonesia</t>
        </is>
      </c>
      <c r="D187" t="inlineStr">
        <is>
          <t>First collector</t>
        </is>
      </c>
      <c r="E187" t="inlineStr">
        <is>
          <t>FIT/FIP</t>
        </is>
      </c>
      <c r="F187" t="inlineStr">
        <is>
          <t>GGLS1, GGLS4</t>
        </is>
      </c>
      <c r="G187" t="inlineStr">
        <is>
          <t>AR</t>
        </is>
      </c>
      <c r="H187" t="inlineStr">
        <is>
          <t>2025-01-30</t>
        </is>
      </c>
      <c r="I187" t="inlineStr">
        <is>
          <t>2030-01-29</t>
        </is>
      </c>
      <c r="J187" t="inlineStr">
        <is>
          <t>PT Carsurin Certiva International</t>
        </is>
      </c>
      <c r="K187" t="inlineStr">
        <is>
          <t>Revoked</t>
        </is>
      </c>
    </row>
    <row r="188">
      <c r="A188" t="inlineStr">
        <is>
          <t>1873719424364576768</t>
        </is>
      </c>
      <c r="B188" t="inlineStr">
        <is>
          <t>PT BARUMUN AGRO SENTOSA</t>
        </is>
      </c>
      <c r="C188" t="inlineStr">
        <is>
          <t>Indonesia</t>
        </is>
      </c>
      <c r="D188" t="inlineStr">
        <is>
          <t>Biomass producer</t>
        </is>
      </c>
      <c r="E188" t="inlineStr">
        <is>
          <t>FIT/FIP</t>
        </is>
      </c>
      <c r="F188" t="inlineStr">
        <is>
          <t>GGLS1, GGLS4</t>
        </is>
      </c>
      <c r="G188" t="inlineStr">
        <is>
          <t>AR</t>
        </is>
      </c>
      <c r="H188" t="inlineStr">
        <is>
          <t>2024-07-04</t>
        </is>
      </c>
      <c r="I188" t="inlineStr">
        <is>
          <t>2029-07-03</t>
        </is>
      </c>
      <c r="J188" t="inlineStr">
        <is>
          <t>PT Carsurin Certiva International</t>
        </is>
      </c>
      <c r="K188" t="inlineStr">
        <is>
          <t>Valid</t>
        </is>
      </c>
    </row>
    <row r="189">
      <c r="A189" t="inlineStr">
        <is>
          <t>1873647819693228032</t>
        </is>
      </c>
      <c r="B189" t="inlineStr">
        <is>
          <t>PT BERSAUDARA NATURAL ENERGI</t>
        </is>
      </c>
      <c r="C189" t="inlineStr">
        <is>
          <t>Indonesia</t>
        </is>
      </c>
      <c r="D189" t="inlineStr">
        <is>
          <t>First collector</t>
        </is>
      </c>
      <c r="E189" t="inlineStr">
        <is>
          <t>FIT/FIP</t>
        </is>
      </c>
      <c r="F189" t="inlineStr">
        <is>
          <t>GGLS1, GGLS4</t>
        </is>
      </c>
      <c r="G189" t="inlineStr">
        <is>
          <t>AR</t>
        </is>
      </c>
      <c r="H189" t="inlineStr">
        <is>
          <t>2023-10-13</t>
        </is>
      </c>
      <c r="I189" t="inlineStr">
        <is>
          <t>2028-10-12</t>
        </is>
      </c>
      <c r="J189" t="inlineStr">
        <is>
          <t>PT Carsurin Certiva International</t>
        </is>
      </c>
      <c r="K189" t="inlineStr">
        <is>
          <t>Revoked</t>
        </is>
      </c>
    </row>
    <row r="190">
      <c r="A190" t="inlineStr">
        <is>
          <t>1873648530753585152</t>
        </is>
      </c>
      <c r="B190" t="inlineStr">
        <is>
          <t>PT BINTANG MULIA ANUGERAH SEJAHTERA</t>
        </is>
      </c>
      <c r="C190" t="inlineStr">
        <is>
          <t>Indonesia</t>
        </is>
      </c>
      <c r="D190" t="inlineStr">
        <is>
          <t>First collector</t>
        </is>
      </c>
      <c r="E190" t="inlineStr">
        <is>
          <t>FIT/FIP</t>
        </is>
      </c>
      <c r="F190" t="inlineStr">
        <is>
          <t>GGLS1, GGLS4</t>
        </is>
      </c>
      <c r="G190" t="inlineStr">
        <is>
          <t>AR, Cat 5</t>
        </is>
      </c>
      <c r="H190" t="inlineStr">
        <is>
          <t>2023-10-31</t>
        </is>
      </c>
      <c r="I190" t="inlineStr">
        <is>
          <t>2028-10-30</t>
        </is>
      </c>
      <c r="J190" t="inlineStr">
        <is>
          <t>PT Carsurin Certiva International</t>
        </is>
      </c>
      <c r="K190" t="inlineStr">
        <is>
          <t>Valid</t>
        </is>
      </c>
    </row>
    <row r="191">
      <c r="A191" t="inlineStr">
        <is>
          <t>1925819822482915328</t>
        </is>
      </c>
      <c r="B191" t="inlineStr">
        <is>
          <t>PT BIOMASS UTAMA MANDIRI INDOLESTARI</t>
        </is>
      </c>
      <c r="C191" t="inlineStr">
        <is>
          <t>Indonesia</t>
        </is>
      </c>
      <c r="D191" t="inlineStr">
        <is>
          <t>First collector</t>
        </is>
      </c>
      <c r="E191" t="inlineStr">
        <is>
          <t>FIT/FIP</t>
        </is>
      </c>
      <c r="F191" t="inlineStr">
        <is>
          <t>GGLS1, GGLS4</t>
        </is>
      </c>
      <c r="G191" t="inlineStr">
        <is>
          <t>AR</t>
        </is>
      </c>
      <c r="H191" t="inlineStr">
        <is>
          <t>2025-04-30</t>
        </is>
      </c>
      <c r="I191" t="inlineStr">
        <is>
          <t>2030-04-29</t>
        </is>
      </c>
      <c r="J191" t="inlineStr">
        <is>
          <t>PT Carsurin Certiva International</t>
        </is>
      </c>
      <c r="K191" t="inlineStr">
        <is>
          <t>Revoked</t>
        </is>
      </c>
    </row>
    <row r="192">
      <c r="A192" t="inlineStr">
        <is>
          <t>1912345322919559168</t>
        </is>
      </c>
      <c r="B192" t="inlineStr">
        <is>
          <t>PT BIOMASSA ENERGI GROUP</t>
        </is>
      </c>
      <c r="C192" t="inlineStr">
        <is>
          <t>Indonesia</t>
        </is>
      </c>
      <c r="D192" t="inlineStr">
        <is>
          <t>First collector</t>
        </is>
      </c>
      <c r="E192" t="inlineStr">
        <is>
          <t>FIT/FIP</t>
        </is>
      </c>
      <c r="F192" t="inlineStr">
        <is>
          <t>GGLS1, GGLS4</t>
        </is>
      </c>
      <c r="G192" t="inlineStr">
        <is>
          <t>AR</t>
        </is>
      </c>
      <c r="H192" t="inlineStr">
        <is>
          <t>2024-06-14</t>
        </is>
      </c>
      <c r="I192" t="inlineStr">
        <is>
          <t>2029-06-13</t>
        </is>
      </c>
      <c r="J192" t="inlineStr">
        <is>
          <t>PT Carsurin Certiva International</t>
        </is>
      </c>
      <c r="K192" t="inlineStr">
        <is>
          <t>Valid</t>
        </is>
      </c>
    </row>
    <row r="193">
      <c r="A193" t="inlineStr">
        <is>
          <t>1873695565687029760</t>
        </is>
      </c>
      <c r="B193" t="inlineStr">
        <is>
          <t>PT BIOMASSA ENERGY SANSKRIT TRADING INDONESIA</t>
        </is>
      </c>
      <c r="C193" t="inlineStr">
        <is>
          <t>Indonesia</t>
        </is>
      </c>
      <c r="D193" t="inlineStr">
        <is>
          <t>First collector</t>
        </is>
      </c>
      <c r="E193" t="inlineStr">
        <is>
          <t>FIT/FIP</t>
        </is>
      </c>
      <c r="F193" t="inlineStr">
        <is>
          <t>GGLS1, GGLS4</t>
        </is>
      </c>
      <c r="G193" t="inlineStr">
        <is>
          <t>AR</t>
        </is>
      </c>
      <c r="H193" t="inlineStr">
        <is>
          <t>2024-05-11</t>
        </is>
      </c>
      <c r="I193" t="inlineStr">
        <is>
          <t>2029-05-10</t>
        </is>
      </c>
      <c r="J193" t="inlineStr">
        <is>
          <t>PT Carsurin Certiva International</t>
        </is>
      </c>
      <c r="K193" t="inlineStr">
        <is>
          <t>Valid</t>
        </is>
      </c>
    </row>
    <row r="194">
      <c r="A194" t="inlineStr">
        <is>
          <t>1925820875966251008</t>
        </is>
      </c>
      <c r="B194" t="inlineStr">
        <is>
          <t>PT BUMI ANDALAN BIOMASS ENERGY</t>
        </is>
      </c>
      <c r="C194" t="inlineStr">
        <is>
          <t>Indonesia</t>
        </is>
      </c>
      <c r="D194" t="inlineStr">
        <is>
          <t>First collector</t>
        </is>
      </c>
      <c r="E194" t="inlineStr">
        <is>
          <t>FIT/FIP</t>
        </is>
      </c>
      <c r="F194" t="inlineStr">
        <is>
          <t>GGLS1, GGLS4</t>
        </is>
      </c>
      <c r="G194" t="inlineStr">
        <is>
          <t>AR</t>
        </is>
      </c>
      <c r="H194" t="inlineStr">
        <is>
          <t>2025-04-21</t>
        </is>
      </c>
      <c r="I194" t="inlineStr">
        <is>
          <t>2030-04-20</t>
        </is>
      </c>
      <c r="J194" t="inlineStr">
        <is>
          <t>PT Carsurin Certiva International</t>
        </is>
      </c>
      <c r="K194" t="inlineStr">
        <is>
          <t>Valid</t>
        </is>
      </c>
    </row>
    <row r="195">
      <c r="A195" t="inlineStr">
        <is>
          <t>1883131125853847552</t>
        </is>
      </c>
      <c r="B195" t="inlineStr">
        <is>
          <t>PT Berkah Energi Abadi</t>
        </is>
      </c>
      <c r="C195" t="inlineStr">
        <is>
          <t>Indonesia</t>
        </is>
      </c>
      <c r="D195" t="inlineStr">
        <is>
          <t>First collector</t>
        </is>
      </c>
      <c r="E195" t="inlineStr">
        <is>
          <t>FIT/FIP</t>
        </is>
      </c>
      <c r="F195" t="inlineStr">
        <is>
          <t>GGLS1, GGLS4</t>
        </is>
      </c>
      <c r="G195" t="inlineStr">
        <is>
          <t>AR</t>
        </is>
      </c>
      <c r="H195" t="inlineStr">
        <is>
          <t>2024-02-23</t>
        </is>
      </c>
      <c r="I195" t="inlineStr">
        <is>
          <t>2029-02-22</t>
        </is>
      </c>
      <c r="J195" t="inlineStr">
        <is>
          <t>Control Union</t>
        </is>
      </c>
      <c r="K195" t="inlineStr">
        <is>
          <t>Valid</t>
        </is>
      </c>
    </row>
    <row r="196">
      <c r="A196" t="inlineStr">
        <is>
          <t>2088154896820862976</t>
        </is>
      </c>
      <c r="B196" t="inlineStr">
        <is>
          <t>PT Biomass Fuel Indonesia</t>
        </is>
      </c>
      <c r="C196" t="inlineStr">
        <is>
          <t>Indonesia</t>
        </is>
      </c>
      <c r="D196" t="inlineStr">
        <is>
          <t>Trader</t>
        </is>
      </c>
      <c r="E196" t="inlineStr">
        <is>
          <t>FIT/FIP</t>
        </is>
      </c>
      <c r="F196" t="inlineStr">
        <is>
          <t>GGLS1, GGLS4</t>
        </is>
      </c>
      <c r="G196" t="inlineStr">
        <is>
          <t>AR, Cat 5</t>
        </is>
      </c>
      <c r="H196" t="inlineStr">
        <is>
          <t>2026-08-14</t>
        </is>
      </c>
      <c r="I196" t="inlineStr">
        <is>
          <t>2031-08-13</t>
        </is>
      </c>
      <c r="J196" t="inlineStr">
        <is>
          <t>PT PCU Indonesia</t>
        </is>
      </c>
      <c r="K196" t="inlineStr">
        <is>
          <t>Valid</t>
        </is>
      </c>
    </row>
    <row r="197">
      <c r="A197" t="inlineStr">
        <is>
          <t>2069981267453018112</t>
        </is>
      </c>
      <c r="B197" t="inlineStr">
        <is>
          <t>PT Biomassa Lestari Nusantara</t>
        </is>
      </c>
      <c r="C197" t="inlineStr">
        <is>
          <t>Indonesia</t>
        </is>
      </c>
      <c r="D197" t="inlineStr">
        <is>
          <t>First collector</t>
        </is>
      </c>
      <c r="E197" t="inlineStr">
        <is>
          <t>FIT/FIP</t>
        </is>
      </c>
      <c r="F197" t="inlineStr">
        <is>
          <t>GGLS1, GGLS4</t>
        </is>
      </c>
      <c r="G197" t="inlineStr">
        <is>
          <t>Cat 5, WB</t>
        </is>
      </c>
      <c r="H197" t="inlineStr">
        <is>
          <t>2026-04-15</t>
        </is>
      </c>
      <c r="I197" t="inlineStr">
        <is>
          <t>2031-04-14</t>
        </is>
      </c>
      <c r="J197" t="inlineStr">
        <is>
          <t>BM Certification</t>
        </is>
      </c>
      <c r="K197" t="inlineStr">
        <is>
          <t>Valid</t>
        </is>
      </c>
    </row>
    <row r="198">
      <c r="A198" t="inlineStr">
        <is>
          <t>1873634609309155328</t>
        </is>
      </c>
      <c r="B198" t="inlineStr">
        <is>
          <t>PT Bumi Mas Agro</t>
        </is>
      </c>
      <c r="C198" t="inlineStr">
        <is>
          <t>Indonesia</t>
        </is>
      </c>
      <c r="D198" t="inlineStr">
        <is>
          <t>First collector</t>
        </is>
      </c>
      <c r="E198" t="inlineStr">
        <is>
          <t>FIT/FIP</t>
        </is>
      </c>
      <c r="F198" t="inlineStr">
        <is>
          <t>GGLS1, GGLS4</t>
        </is>
      </c>
      <c r="G198" t="inlineStr">
        <is>
          <t>AR, Cat 5</t>
        </is>
      </c>
      <c r="H198" t="inlineStr">
        <is>
          <t>2024-03-21</t>
        </is>
      </c>
      <c r="I198" t="inlineStr">
        <is>
          <t>2029-03-20</t>
        </is>
      </c>
      <c r="J198" t="inlineStr">
        <is>
          <t>PT SBC Asia Sertifikasi</t>
        </is>
      </c>
      <c r="K198" t="inlineStr">
        <is>
          <t>Valid</t>
        </is>
      </c>
    </row>
    <row r="199">
      <c r="A199" t="inlineStr">
        <is>
          <t>1873644244179091456</t>
        </is>
      </c>
      <c r="B199" t="inlineStr">
        <is>
          <t>PT CERIA KREASI GEMILANG</t>
        </is>
      </c>
      <c r="C199" t="inlineStr">
        <is>
          <t>Indonesia</t>
        </is>
      </c>
      <c r="D199" t="inlineStr">
        <is>
          <t>First collector</t>
        </is>
      </c>
      <c r="E199" t="inlineStr">
        <is>
          <t>FIT/FIP</t>
        </is>
      </c>
      <c r="F199" t="inlineStr">
        <is>
          <t>GGLS1, GGLS4</t>
        </is>
      </c>
      <c r="G199" t="inlineStr">
        <is>
          <t>AR</t>
        </is>
      </c>
      <c r="H199" t="inlineStr">
        <is>
          <t>2023-01-17</t>
        </is>
      </c>
      <c r="I199" t="inlineStr">
        <is>
          <t>2028-01-16</t>
        </is>
      </c>
      <c r="J199" t="inlineStr">
        <is>
          <t>PT Carsurin Certiva International</t>
        </is>
      </c>
      <c r="K199" t="inlineStr">
        <is>
          <t>Valid</t>
        </is>
      </c>
    </row>
    <row r="200">
      <c r="A200" t="inlineStr">
        <is>
          <t>1897590053249482752</t>
        </is>
      </c>
      <c r="B200" t="inlineStr">
        <is>
          <t>PT Cahaya Cemerlang Lestari</t>
        </is>
      </c>
      <c r="C200" t="inlineStr">
        <is>
          <t>Indonesia</t>
        </is>
      </c>
      <c r="D200" t="inlineStr">
        <is>
          <t>Biomass producer</t>
        </is>
      </c>
      <c r="E200" t="inlineStr">
        <is>
          <t>FIT/FIP</t>
        </is>
      </c>
      <c r="F200" t="inlineStr">
        <is>
          <t>GGLS1, GGLS4</t>
        </is>
      </c>
      <c r="G200" t="inlineStr">
        <is>
          <t>AR</t>
        </is>
      </c>
      <c r="H200" t="inlineStr">
        <is>
          <t>2025-02-27</t>
        </is>
      </c>
      <c r="I200" t="inlineStr">
        <is>
          <t>2030-02-26</t>
        </is>
      </c>
      <c r="J200" t="inlineStr">
        <is>
          <t>Control Union</t>
        </is>
      </c>
      <c r="K200" t="inlineStr">
        <is>
          <t>Valid</t>
        </is>
      </c>
    </row>
    <row r="201">
      <c r="A201" t="inlineStr">
        <is>
          <t>1952328596668284928</t>
        </is>
      </c>
      <c r="B201" t="inlineStr">
        <is>
          <t>PT Dahlia Harun Sejahtera</t>
        </is>
      </c>
      <c r="C201" t="inlineStr">
        <is>
          <t>Indonesia</t>
        </is>
      </c>
      <c r="D201" t="inlineStr">
        <is>
          <t>First collector</t>
        </is>
      </c>
      <c r="E201" t="inlineStr">
        <is>
          <t>FIT/FIP</t>
        </is>
      </c>
      <c r="F201" t="inlineStr">
        <is>
          <t>GGLS1, GGLS4</t>
        </is>
      </c>
      <c r="G201" t="inlineStr">
        <is>
          <t>AR</t>
        </is>
      </c>
      <c r="H201" t="inlineStr">
        <is>
          <t>2025-07-04</t>
        </is>
      </c>
      <c r="I201" t="inlineStr">
        <is>
          <t>2030-07-03</t>
        </is>
      </c>
      <c r="J201" t="inlineStr">
        <is>
          <t>Control Union</t>
        </is>
      </c>
      <c r="K201" t="inlineStr">
        <is>
          <t>Revoked</t>
        </is>
      </c>
    </row>
    <row r="202">
      <c r="A202" t="inlineStr">
        <is>
          <t>2008829303176822784</t>
        </is>
      </c>
      <c r="B202" t="inlineStr">
        <is>
          <t>PT Daya Semesta Agro Persada</t>
        </is>
      </c>
      <c r="C202" t="inlineStr">
        <is>
          <t>Indonesia</t>
        </is>
      </c>
      <c r="D202" t="inlineStr">
        <is>
          <t>First collector</t>
        </is>
      </c>
      <c r="E202" t="inlineStr">
        <is>
          <t>FIT/FIP</t>
        </is>
      </c>
      <c r="F202" t="inlineStr">
        <is>
          <t>GGLS1, GGLS4</t>
        </is>
      </c>
      <c r="G202" t="inlineStr">
        <is>
          <t>AR, Cat 5</t>
        </is>
      </c>
      <c r="H202" t="inlineStr">
        <is>
          <t>2026-01-06</t>
        </is>
      </c>
      <c r="I202" t="inlineStr">
        <is>
          <t>2031-01-05</t>
        </is>
      </c>
      <c r="J202" t="inlineStr">
        <is>
          <t>Control Union</t>
        </is>
      </c>
      <c r="K202" t="inlineStr">
        <is>
          <t>Valid</t>
        </is>
      </c>
    </row>
    <row r="203">
      <c r="A203" t="inlineStr">
        <is>
          <t>1873635246537179136</t>
        </is>
      </c>
      <c r="B203" t="inlineStr">
        <is>
          <t>PT Dharma Sumber Energi</t>
        </is>
      </c>
      <c r="C203" t="inlineStr">
        <is>
          <t>Indonesia</t>
        </is>
      </c>
      <c r="D203" t="inlineStr">
        <is>
          <t>First collector</t>
        </is>
      </c>
      <c r="E203" t="inlineStr">
        <is>
          <t>FIT/FIP</t>
        </is>
      </c>
      <c r="F203" t="inlineStr">
        <is>
          <t>GGLS1, GGLS4</t>
        </is>
      </c>
      <c r="G203" t="inlineStr">
        <is>
          <t>AR</t>
        </is>
      </c>
      <c r="H203" t="inlineStr">
        <is>
          <t>2022-06-28</t>
        </is>
      </c>
      <c r="I203" t="inlineStr">
        <is>
          <t>2027-06-27</t>
        </is>
      </c>
      <c r="J203" t="inlineStr">
        <is>
          <t>BM Certification</t>
        </is>
      </c>
      <c r="K203" t="inlineStr">
        <is>
          <t>Valid</t>
        </is>
      </c>
    </row>
    <row r="204">
      <c r="A204" t="inlineStr">
        <is>
          <t>1965620658880643072</t>
        </is>
      </c>
      <c r="B204" t="inlineStr">
        <is>
          <t>PT Dimife Sukses Gemilang Energi</t>
        </is>
      </c>
      <c r="C204" t="inlineStr">
        <is>
          <t>Indonesia</t>
        </is>
      </c>
      <c r="D204" t="inlineStr">
        <is>
          <t>First collector</t>
        </is>
      </c>
      <c r="E204" t="inlineStr">
        <is>
          <t>FIT/FIP</t>
        </is>
      </c>
      <c r="F204" t="inlineStr">
        <is>
          <t>GGLS1, GGLS4</t>
        </is>
      </c>
      <c r="G204" t="inlineStr">
        <is>
          <t>AR</t>
        </is>
      </c>
      <c r="H204" t="inlineStr">
        <is>
          <t>2025-09-19</t>
        </is>
      </c>
      <c r="I204" t="inlineStr">
        <is>
          <t>2030-09-18</t>
        </is>
      </c>
      <c r="J204" t="inlineStr">
        <is>
          <t>BM Certification</t>
        </is>
      </c>
      <c r="K204" t="inlineStr">
        <is>
          <t>Valid</t>
        </is>
      </c>
    </row>
    <row r="205">
      <c r="A205" t="inlineStr">
        <is>
          <t>1873640186072530944</t>
        </is>
      </c>
      <c r="B205" t="inlineStr">
        <is>
          <t>PT Dwiwira Lestari Jaya</t>
        </is>
      </c>
      <c r="C205" t="inlineStr">
        <is>
          <t>Indonesia</t>
        </is>
      </c>
      <c r="D205" t="inlineStr">
        <is>
          <t>First collector, Trader</t>
        </is>
      </c>
      <c r="E205" t="inlineStr">
        <is>
          <t>FIT/FIP</t>
        </is>
      </c>
      <c r="F205" t="inlineStr">
        <is>
          <t>GGLS1, GGLS4</t>
        </is>
      </c>
      <c r="G205" t="inlineStr">
        <is>
          <t>AR</t>
        </is>
      </c>
      <c r="H205" t="inlineStr">
        <is>
          <t>2024-10-17</t>
        </is>
      </c>
      <c r="I205" t="inlineStr">
        <is>
          <t>2029-10-16</t>
        </is>
      </c>
      <c r="J205" t="inlineStr">
        <is>
          <t>PT SBC Asia Sertifikasi</t>
        </is>
      </c>
      <c r="K205" t="inlineStr">
        <is>
          <t>Valid</t>
        </is>
      </c>
    </row>
    <row r="206">
      <c r="A206" t="inlineStr">
        <is>
          <t>1873644619489607680</t>
        </is>
      </c>
      <c r="B206" t="inlineStr">
        <is>
          <t>PT EKASAPTA PARAMITA ENERGI</t>
        </is>
      </c>
      <c r="C206" t="inlineStr">
        <is>
          <t>Indonesia</t>
        </is>
      </c>
      <c r="D206" t="inlineStr">
        <is>
          <t>First collector</t>
        </is>
      </c>
      <c r="E206" t="inlineStr">
        <is>
          <t>FIT/FIP</t>
        </is>
      </c>
      <c r="F206" t="inlineStr">
        <is>
          <t>GGLS1, GGLS4</t>
        </is>
      </c>
      <c r="G206" t="inlineStr">
        <is>
          <t>AR, Cat 5</t>
        </is>
      </c>
      <c r="H206" t="inlineStr">
        <is>
          <t>2026-07-26</t>
        </is>
      </c>
      <c r="I206" t="inlineStr">
        <is>
          <t>2031-07-25</t>
        </is>
      </c>
      <c r="J206" t="inlineStr">
        <is>
          <t>PT Carsurin Certiva International</t>
        </is>
      </c>
      <c r="K206" t="inlineStr">
        <is>
          <t>Valid</t>
        </is>
      </c>
    </row>
    <row r="207">
      <c r="A207" t="inlineStr">
        <is>
          <t>1873644619489607680</t>
        </is>
      </c>
      <c r="B207" t="inlineStr">
        <is>
          <t>PT EKASAPTA PARAMITA ENERGI</t>
        </is>
      </c>
      <c r="C207" t="inlineStr">
        <is>
          <t>Indonesia</t>
        </is>
      </c>
      <c r="D207" t="inlineStr">
        <is>
          <t>First collector</t>
        </is>
      </c>
      <c r="E207" t="inlineStr">
        <is>
          <t>FIT/FIP</t>
        </is>
      </c>
      <c r="F207" t="inlineStr">
        <is>
          <t>GGLS1, GGLS4</t>
        </is>
      </c>
      <c r="G207" t="inlineStr">
        <is>
          <t>AR</t>
        </is>
      </c>
      <c r="H207" t="inlineStr">
        <is>
          <t>2021-07-26</t>
        </is>
      </c>
      <c r="I207" t="inlineStr">
        <is>
          <t>2026-07-25</t>
        </is>
      </c>
      <c r="J207" t="inlineStr">
        <is>
          <t>PT Carsurin Certiva International</t>
        </is>
      </c>
      <c r="K207" t="inlineStr">
        <is>
          <t>Expired</t>
        </is>
      </c>
    </row>
    <row r="208">
      <c r="A208" t="inlineStr">
        <is>
          <t>1873697546770055168</t>
        </is>
      </c>
      <c r="B208" t="inlineStr">
        <is>
          <t>PT ENERGI BIOMASSA BORNEO</t>
        </is>
      </c>
      <c r="C208" t="inlineStr">
        <is>
          <t>Indonesia</t>
        </is>
      </c>
      <c r="D208" t="inlineStr">
        <is>
          <t>First collector</t>
        </is>
      </c>
      <c r="E208" t="inlineStr">
        <is>
          <t>FIT/FIP</t>
        </is>
      </c>
      <c r="F208" t="inlineStr">
        <is>
          <t>GGLS1, GGLS4</t>
        </is>
      </c>
      <c r="G208" t="inlineStr">
        <is>
          <t>AR</t>
        </is>
      </c>
      <c r="H208" t="inlineStr">
        <is>
          <t>2024-05-20</t>
        </is>
      </c>
      <c r="I208" t="inlineStr">
        <is>
          <t>2029-05-19</t>
        </is>
      </c>
      <c r="J208" t="inlineStr">
        <is>
          <t>PT Carsurin Certiva International</t>
        </is>
      </c>
      <c r="K208" t="inlineStr">
        <is>
          <t>Valid</t>
        </is>
      </c>
    </row>
    <row r="209">
      <c r="A209" t="inlineStr">
        <is>
          <t>1916767890715967488</t>
        </is>
      </c>
      <c r="B209" t="inlineStr">
        <is>
          <t>PT ENERGI CEMERLANG OPTIMA</t>
        </is>
      </c>
      <c r="C209" t="inlineStr">
        <is>
          <t>Indonesia</t>
        </is>
      </c>
      <c r="D209" t="inlineStr">
        <is>
          <t>Trader</t>
        </is>
      </c>
      <c r="E209" t="inlineStr">
        <is>
          <t>FIT/FIP</t>
        </is>
      </c>
      <c r="F209" t="inlineStr">
        <is>
          <t>GGLS1, GGLS4</t>
        </is>
      </c>
      <c r="G209" t="inlineStr">
        <is>
          <t>AR</t>
        </is>
      </c>
      <c r="H209" t="inlineStr">
        <is>
          <t>2025-04-17</t>
        </is>
      </c>
      <c r="I209" t="inlineStr">
        <is>
          <t>2030-04-16</t>
        </is>
      </c>
      <c r="J209" t="inlineStr">
        <is>
          <t>PT Carsurin Certiva International</t>
        </is>
      </c>
      <c r="K209" t="inlineStr">
        <is>
          <t>Revoked</t>
        </is>
      </c>
    </row>
    <row r="210">
      <c r="A210" t="inlineStr">
        <is>
          <t>1882893637663064064</t>
        </is>
      </c>
      <c r="B210" t="inlineStr">
        <is>
          <t>PT Eka Dura Indonesia</t>
        </is>
      </c>
      <c r="C210" t="inlineStr">
        <is>
          <t>Indonesia</t>
        </is>
      </c>
      <c r="D210" t="inlineStr">
        <is>
          <t>First collector</t>
        </is>
      </c>
      <c r="E210" t="inlineStr">
        <is>
          <t>FIT/FIP</t>
        </is>
      </c>
      <c r="F210" t="inlineStr">
        <is>
          <t>GGLS1, GGLS4</t>
        </is>
      </c>
      <c r="G210" t="inlineStr">
        <is>
          <t>AR</t>
        </is>
      </c>
      <c r="H210" t="inlineStr">
        <is>
          <t>2024-03-19</t>
        </is>
      </c>
      <c r="I210" t="inlineStr">
        <is>
          <t>2029-03-18</t>
        </is>
      </c>
      <c r="J210" t="inlineStr">
        <is>
          <t>Control Union</t>
        </is>
      </c>
      <c r="K210" t="inlineStr">
        <is>
          <t>Valid</t>
        </is>
      </c>
    </row>
    <row r="211">
      <c r="A211" t="inlineStr">
        <is>
          <t>1896464196564942848</t>
        </is>
      </c>
      <c r="B211" t="inlineStr">
        <is>
          <t>PT Energi Unggul Persada</t>
        </is>
      </c>
      <c r="C211" t="inlineStr">
        <is>
          <t>Indonesia</t>
        </is>
      </c>
      <c r="D211" t="inlineStr">
        <is>
          <t>First collector, Trader</t>
        </is>
      </c>
      <c r="E211" t="inlineStr">
        <is>
          <t>FIT/FIP</t>
        </is>
      </c>
      <c r="F211" t="inlineStr">
        <is>
          <t>GGLS1, GGLS4</t>
        </is>
      </c>
      <c r="G211" t="inlineStr">
        <is>
          <t>AR, Cat 5</t>
        </is>
      </c>
      <c r="H211" t="inlineStr">
        <is>
          <t>2024-01-21</t>
        </is>
      </c>
      <c r="I211" t="inlineStr">
        <is>
          <t>2029-01-20</t>
        </is>
      </c>
      <c r="J211" t="inlineStr">
        <is>
          <t>PT SBC Asia Sertifikasi</t>
        </is>
      </c>
      <c r="K211" t="inlineStr">
        <is>
          <t>Valid</t>
        </is>
      </c>
    </row>
    <row r="212">
      <c r="A212" t="inlineStr">
        <is>
          <t>1941044754628214784</t>
        </is>
      </c>
      <c r="B212" t="inlineStr">
        <is>
          <t>PT Enviro Alam Pratama</t>
        </is>
      </c>
      <c r="C212" t="inlineStr">
        <is>
          <t>Indonesia</t>
        </is>
      </c>
      <c r="D212" t="inlineStr">
        <is>
          <t>First collector, Trader</t>
        </is>
      </c>
      <c r="E212" t="inlineStr">
        <is>
          <t>FIT/FIP</t>
        </is>
      </c>
      <c r="F212" t="inlineStr">
        <is>
          <t>GGLS1, GGLS4</t>
        </is>
      </c>
      <c r="G212" t="inlineStr">
        <is>
          <t>AR, Cat 5</t>
        </is>
      </c>
      <c r="H212" t="inlineStr">
        <is>
          <t>2025-07-01</t>
        </is>
      </c>
      <c r="I212" t="inlineStr">
        <is>
          <t>2030-06-30</t>
        </is>
      </c>
      <c r="J212" t="inlineStr">
        <is>
          <t>PT SBC Asia Sertifikasi</t>
        </is>
      </c>
      <c r="K212" t="inlineStr">
        <is>
          <t>Valid</t>
        </is>
      </c>
    </row>
    <row r="213">
      <c r="A213" t="inlineStr">
        <is>
          <t>1897101151485034496</t>
        </is>
      </c>
      <c r="B213" t="inlineStr">
        <is>
          <t>PT Erakarya Mukti Jaya</t>
        </is>
      </c>
      <c r="C213" t="inlineStr">
        <is>
          <t>Indonesia</t>
        </is>
      </c>
      <c r="D213" t="inlineStr">
        <is>
          <t>First collector</t>
        </is>
      </c>
      <c r="E213" t="inlineStr">
        <is>
          <t>FIT/FIP</t>
        </is>
      </c>
      <c r="F213" t="inlineStr">
        <is>
          <t>GGLS1, GGLS4</t>
        </is>
      </c>
      <c r="G213" t="inlineStr">
        <is>
          <t>AR, Cat 5</t>
        </is>
      </c>
      <c r="H213" t="inlineStr">
        <is>
          <t>2025-01-02</t>
        </is>
      </c>
      <c r="I213" t="inlineStr">
        <is>
          <t>2030-01-01</t>
        </is>
      </c>
      <c r="J213" t="inlineStr">
        <is>
          <t>PT SBC Asia Sertifikasi</t>
        </is>
      </c>
      <c r="K213" t="inlineStr">
        <is>
          <t>Valid</t>
        </is>
      </c>
    </row>
    <row r="214">
      <c r="A214" t="inlineStr">
        <is>
          <t>1895372742522306560</t>
        </is>
      </c>
      <c r="B214" t="inlineStr">
        <is>
          <t>PT Evans Lestari</t>
        </is>
      </c>
      <c r="C214" t="inlineStr">
        <is>
          <t>Indonesia</t>
        </is>
      </c>
      <c r="D214" t="inlineStr">
        <is>
          <t>First collector</t>
        </is>
      </c>
      <c r="E214" t="inlineStr">
        <is>
          <t>FIT/FIP</t>
        </is>
      </c>
      <c r="F214" t="inlineStr">
        <is>
          <t>GGLS1, GGLS4</t>
        </is>
      </c>
      <c r="G214" t="inlineStr">
        <is>
          <t>AR</t>
        </is>
      </c>
      <c r="H214" t="inlineStr">
        <is>
          <t>2024-03-19</t>
        </is>
      </c>
      <c r="I214" t="inlineStr">
        <is>
          <t>2029-03-18</t>
        </is>
      </c>
      <c r="J214" t="inlineStr">
        <is>
          <t>Control Union</t>
        </is>
      </c>
      <c r="K214" t="inlineStr">
        <is>
          <t>Valid</t>
        </is>
      </c>
    </row>
    <row r="215">
      <c r="A215" t="inlineStr">
        <is>
          <t>2069977067578982400</t>
        </is>
      </c>
      <c r="B215" t="inlineStr">
        <is>
          <t>PT FALAH ASAHI GLOBAL TRADE</t>
        </is>
      </c>
      <c r="C215" t="inlineStr">
        <is>
          <t>Indonesia</t>
        </is>
      </c>
      <c r="D215" t="inlineStr">
        <is>
          <t>First collector, Trader</t>
        </is>
      </c>
      <c r="E215" t="inlineStr">
        <is>
          <t>FIT/FIP</t>
        </is>
      </c>
      <c r="F215" t="inlineStr">
        <is>
          <t>GGLS1, GGLS4</t>
        </is>
      </c>
      <c r="G215" t="inlineStr">
        <is>
          <t>AR, Cat 5</t>
        </is>
      </c>
      <c r="H215" t="inlineStr">
        <is>
          <t>2026-06-24</t>
        </is>
      </c>
      <c r="I215" t="inlineStr">
        <is>
          <t>2031-06-23</t>
        </is>
      </c>
      <c r="J215" t="inlineStr">
        <is>
          <t>PT Carsurin Certiva International</t>
        </is>
      </c>
      <c r="K215" t="inlineStr">
        <is>
          <t>Valid</t>
        </is>
      </c>
    </row>
    <row r="216">
      <c r="A216" t="inlineStr">
        <is>
          <t>1911684960620642304</t>
        </is>
      </c>
      <c r="B216" t="inlineStr">
        <is>
          <t>PT FELIVA KARUNIA ABADI</t>
        </is>
      </c>
      <c r="C216" t="inlineStr">
        <is>
          <t>Indonesia</t>
        </is>
      </c>
      <c r="D216" t="inlineStr">
        <is>
          <t>First collector</t>
        </is>
      </c>
      <c r="E216" t="inlineStr">
        <is>
          <t>FIT/FIP</t>
        </is>
      </c>
      <c r="F216" t="inlineStr">
        <is>
          <t>GGLS1, GGLS4</t>
        </is>
      </c>
      <c r="G216" t="inlineStr">
        <is>
          <t>AR</t>
        </is>
      </c>
      <c r="H216" t="inlineStr">
        <is>
          <t>2024-02-26</t>
        </is>
      </c>
      <c r="I216" t="inlineStr">
        <is>
          <t>2029-02-25</t>
        </is>
      </c>
      <c r="J216" t="inlineStr">
        <is>
          <t>PT Carsurin Certiva International</t>
        </is>
      </c>
      <c r="K216" t="inlineStr">
        <is>
          <t>Valid</t>
        </is>
      </c>
    </row>
    <row r="217">
      <c r="A217" t="inlineStr">
        <is>
          <t>1873636524600328192</t>
        </is>
      </c>
      <c r="B217" t="inlineStr">
        <is>
          <t>PT Fujiyama Energy Japan</t>
        </is>
      </c>
      <c r="C217" t="inlineStr">
        <is>
          <t>Indonesia</t>
        </is>
      </c>
      <c r="D217" t="inlineStr">
        <is>
          <t>Trader</t>
        </is>
      </c>
      <c r="E217" t="inlineStr">
        <is>
          <t>FIT/FIP</t>
        </is>
      </c>
      <c r="F217" t="inlineStr">
        <is>
          <t>GGLS1, GGLS4</t>
        </is>
      </c>
      <c r="G217" t="inlineStr">
        <is>
          <t>AR</t>
        </is>
      </c>
      <c r="H217" t="inlineStr">
        <is>
          <t>2024-06-08</t>
        </is>
      </c>
      <c r="I217" t="inlineStr">
        <is>
          <t>2029-05-08</t>
        </is>
      </c>
      <c r="J217" t="inlineStr">
        <is>
          <t>PT SBC Asia Sertifikasi</t>
        </is>
      </c>
      <c r="K217" t="inlineStr">
        <is>
          <t>Valid</t>
        </is>
      </c>
    </row>
    <row r="218">
      <c r="A218" t="inlineStr">
        <is>
          <t>1934827417625427968</t>
        </is>
      </c>
      <c r="B218" t="inlineStr">
        <is>
          <t>PT GLOBAL GREEN CENTRAL</t>
        </is>
      </c>
      <c r="C218" t="inlineStr">
        <is>
          <t>Indonesia</t>
        </is>
      </c>
      <c r="D218" t="inlineStr">
        <is>
          <t>First collector</t>
        </is>
      </c>
      <c r="E218" t="inlineStr">
        <is>
          <t>FIT/FIP</t>
        </is>
      </c>
      <c r="F218" t="inlineStr">
        <is>
          <t>GGLS1, GGLS4</t>
        </is>
      </c>
      <c r="G218" t="inlineStr">
        <is>
          <t>AR</t>
        </is>
      </c>
      <c r="H218" t="inlineStr">
        <is>
          <t>2025-06-16</t>
        </is>
      </c>
      <c r="I218" t="inlineStr">
        <is>
          <t>2030-06-15</t>
        </is>
      </c>
      <c r="J218" t="inlineStr">
        <is>
          <t>PT Carsurin Certiva International</t>
        </is>
      </c>
      <c r="K218" t="inlineStr">
        <is>
          <t>Valid</t>
        </is>
      </c>
    </row>
    <row r="219">
      <c r="A219" t="inlineStr">
        <is>
          <t>1873702013716398080</t>
        </is>
      </c>
      <c r="B219" t="inlineStr">
        <is>
          <t>PT INDIKA INDONESIA RESOURCES</t>
        </is>
      </c>
      <c r="C219" t="inlineStr">
        <is>
          <t>Indonesia</t>
        </is>
      </c>
      <c r="D219" t="inlineStr">
        <is>
          <t>First collector</t>
        </is>
      </c>
      <c r="E219" t="inlineStr">
        <is>
          <t>FIT/FIP</t>
        </is>
      </c>
      <c r="F219" t="inlineStr">
        <is>
          <t>GGLS1, GGLS4</t>
        </is>
      </c>
      <c r="G219" t="inlineStr">
        <is>
          <t>AR</t>
        </is>
      </c>
      <c r="H219" t="inlineStr">
        <is>
          <t>2024-07-04</t>
        </is>
      </c>
      <c r="I219" t="inlineStr">
        <is>
          <t>2029-07-03</t>
        </is>
      </c>
      <c r="J219" t="inlineStr">
        <is>
          <t>PT Carsurin Certiva International</t>
        </is>
      </c>
      <c r="K219" t="inlineStr">
        <is>
          <t>Valid</t>
        </is>
      </c>
    </row>
    <row r="220">
      <c r="A220" t="inlineStr">
        <is>
          <t>2048687556299587584</t>
        </is>
      </c>
      <c r="B220" t="inlineStr">
        <is>
          <t>PT INDUSTRI AGRIBISNIS INDONESIA</t>
        </is>
      </c>
      <c r="C220" t="inlineStr">
        <is>
          <t>Indonesia</t>
        </is>
      </c>
      <c r="D220" t="inlineStr">
        <is>
          <t>Trader</t>
        </is>
      </c>
      <c r="E220" t="inlineStr">
        <is>
          <t>FIT/FIP</t>
        </is>
      </c>
      <c r="F220" t="inlineStr">
        <is>
          <t>GGLS1, GGLS4</t>
        </is>
      </c>
      <c r="G220" t="inlineStr">
        <is>
          <t>AR</t>
        </is>
      </c>
      <c r="H220" t="inlineStr">
        <is>
          <t>2026-06-08</t>
        </is>
      </c>
      <c r="I220" t="inlineStr">
        <is>
          <t>2031-06-07</t>
        </is>
      </c>
      <c r="J220" t="inlineStr">
        <is>
          <t>PT Intertek Utama Services</t>
        </is>
      </c>
      <c r="K220" t="inlineStr">
        <is>
          <t>Valid</t>
        </is>
      </c>
    </row>
    <row r="221">
      <c r="A221" t="inlineStr">
        <is>
          <t>1883840453908889600</t>
        </is>
      </c>
      <c r="B221" t="inlineStr">
        <is>
          <t>PT INTERNATIONAL GREEN ENERGY</t>
        </is>
      </c>
      <c r="C221" t="inlineStr">
        <is>
          <t>Indonesia</t>
        </is>
      </c>
      <c r="D221" t="inlineStr">
        <is>
          <t>First collector</t>
        </is>
      </c>
      <c r="E221" t="inlineStr">
        <is>
          <t>FIT/FIP</t>
        </is>
      </c>
      <c r="F221" t="inlineStr">
        <is>
          <t>GGLS1, GGLS4</t>
        </is>
      </c>
      <c r="G221" t="inlineStr">
        <is>
          <t>AR</t>
        </is>
      </c>
      <c r="H221" t="inlineStr">
        <is>
          <t>2021-12-02</t>
        </is>
      </c>
      <c r="I221" t="inlineStr">
        <is>
          <t>2026-12-01</t>
        </is>
      </c>
      <c r="J221" t="inlineStr">
        <is>
          <t>Control Union</t>
        </is>
      </c>
      <c r="K221" t="inlineStr">
        <is>
          <t>Valid</t>
        </is>
      </c>
    </row>
    <row r="222">
      <c r="A222" t="inlineStr">
        <is>
          <t>1883827042663792640</t>
        </is>
      </c>
      <c r="B222" t="inlineStr">
        <is>
          <t>PT Jambi Semesta Biomassa</t>
        </is>
      </c>
      <c r="C222" t="inlineStr">
        <is>
          <t>Indonesia</t>
        </is>
      </c>
      <c r="D222" t="inlineStr">
        <is>
          <t>First collector</t>
        </is>
      </c>
      <c r="E222" t="inlineStr">
        <is>
          <t>FIT/FIP</t>
        </is>
      </c>
      <c r="F222" t="inlineStr">
        <is>
          <t>GGLS1, GGLS4</t>
        </is>
      </c>
      <c r="G222" t="inlineStr">
        <is>
          <t>AR</t>
        </is>
      </c>
      <c r="H222" t="inlineStr">
        <is>
          <t>2021-08-25</t>
        </is>
      </c>
      <c r="I222" t="inlineStr">
        <is>
          <t>2026-08-24</t>
        </is>
      </c>
      <c r="J222" t="inlineStr">
        <is>
          <t>Control Union</t>
        </is>
      </c>
      <c r="K222" t="inlineStr">
        <is>
          <t>Expired</t>
        </is>
      </c>
    </row>
    <row r="223">
      <c r="A223" t="inlineStr">
        <is>
          <t>1883829388122783744</t>
        </is>
      </c>
      <c r="B223" t="inlineStr">
        <is>
          <t>PT Jatim Propertindo Jaya</t>
        </is>
      </c>
      <c r="C223" t="inlineStr">
        <is>
          <t>Indonesia</t>
        </is>
      </c>
      <c r="D223" t="inlineStr">
        <is>
          <t>First collector</t>
        </is>
      </c>
      <c r="E223" t="inlineStr">
        <is>
          <t>FIT/FIP</t>
        </is>
      </c>
      <c r="F223" t="inlineStr">
        <is>
          <t>GGLS1, GGLS4</t>
        </is>
      </c>
      <c r="G223" t="inlineStr">
        <is>
          <t>AR, Cat 5</t>
        </is>
      </c>
      <c r="H223" t="inlineStr">
        <is>
          <t>2021-09-03</t>
        </is>
      </c>
      <c r="I223" t="inlineStr">
        <is>
          <t>2026-09-02</t>
        </is>
      </c>
      <c r="J223" t="inlineStr">
        <is>
          <t>PT PCU Indonesia</t>
        </is>
      </c>
      <c r="K223" t="inlineStr">
        <is>
          <t>Valid</t>
        </is>
      </c>
    </row>
    <row r="224">
      <c r="A224" t="inlineStr">
        <is>
          <t>1873645679432171520</t>
        </is>
      </c>
      <c r="B224" t="inlineStr">
        <is>
          <t>PT KHARISMA INTI MITRA INDONESIA (LHOKSEUMAWE)</t>
        </is>
      </c>
      <c r="C224" t="inlineStr">
        <is>
          <t>Indonesia</t>
        </is>
      </c>
      <c r="D224" t="inlineStr">
        <is>
          <t>First collector</t>
        </is>
      </c>
      <c r="E224" t="inlineStr">
        <is>
          <t>FIT/FIP</t>
        </is>
      </c>
      <c r="F224" t="inlineStr">
        <is>
          <t>GGLS1, GGLS4</t>
        </is>
      </c>
      <c r="G224" t="inlineStr">
        <is>
          <t>AR</t>
        </is>
      </c>
      <c r="H224" t="inlineStr">
        <is>
          <t>2023-10-20</t>
        </is>
      </c>
      <c r="I224" t="inlineStr">
        <is>
          <t>2028-10-19</t>
        </is>
      </c>
      <c r="J224" t="inlineStr">
        <is>
          <t>PT Carsurin Certiva International</t>
        </is>
      </c>
      <c r="K224" t="inlineStr">
        <is>
          <t>Valid</t>
        </is>
      </c>
    </row>
    <row r="225">
      <c r="A225" t="inlineStr">
        <is>
          <t>1912341475169927168</t>
        </is>
      </c>
      <c r="B225" t="inlineStr">
        <is>
          <t>PT KHARISMA INTI MITRA INDONESIA (PEKANBARU)</t>
        </is>
      </c>
      <c r="C225" t="inlineStr">
        <is>
          <t>Indonesia</t>
        </is>
      </c>
      <c r="D225" t="inlineStr">
        <is>
          <t>First collector</t>
        </is>
      </c>
      <c r="E225" t="inlineStr">
        <is>
          <t>FIT/FIP</t>
        </is>
      </c>
      <c r="F225" t="inlineStr">
        <is>
          <t>GGLS1, GGLS4</t>
        </is>
      </c>
      <c r="G225" t="inlineStr">
        <is>
          <t>AR</t>
        </is>
      </c>
      <c r="H225" t="inlineStr">
        <is>
          <t>2023-12-09</t>
        </is>
      </c>
      <c r="I225" t="inlineStr">
        <is>
          <t>2028-12-08</t>
        </is>
      </c>
      <c r="J225" t="inlineStr">
        <is>
          <t>PT Carsurin Certiva International</t>
        </is>
      </c>
      <c r="K225" t="inlineStr">
        <is>
          <t>Valid</t>
        </is>
      </c>
    </row>
    <row r="226">
      <c r="A226" t="inlineStr">
        <is>
          <t>1914871423474597888</t>
        </is>
      </c>
      <c r="B226" t="inlineStr">
        <is>
          <t>PT KSJ TRADING AND SHIPPING</t>
        </is>
      </c>
      <c r="C226" t="inlineStr">
        <is>
          <t>Indonesia</t>
        </is>
      </c>
      <c r="D226" t="inlineStr">
        <is>
          <t>First collector</t>
        </is>
      </c>
      <c r="E226" t="inlineStr">
        <is>
          <t>FIT/FIP</t>
        </is>
      </c>
      <c r="F226" t="inlineStr">
        <is>
          <t>GGLS1, GGLS4</t>
        </is>
      </c>
      <c r="G226" t="inlineStr">
        <is>
          <t>AR</t>
        </is>
      </c>
      <c r="H226" t="inlineStr">
        <is>
          <t>2025-04-17</t>
        </is>
      </c>
      <c r="I226" t="inlineStr">
        <is>
          <t>2030-04-16</t>
        </is>
      </c>
      <c r="J226" t="inlineStr">
        <is>
          <t>PT Carsurin Certiva International</t>
        </is>
      </c>
      <c r="K226" t="inlineStr">
        <is>
          <t>Valid</t>
        </is>
      </c>
    </row>
    <row r="227">
      <c r="A227" t="inlineStr">
        <is>
          <t>2013136248947867648</t>
        </is>
      </c>
      <c r="B227" t="inlineStr">
        <is>
          <t>PT Kalimantan Ria Sejahtera</t>
        </is>
      </c>
      <c r="C227" t="inlineStr">
        <is>
          <t>Indonesia</t>
        </is>
      </c>
      <c r="D227" t="inlineStr">
        <is>
          <t>Biomass producer</t>
        </is>
      </c>
      <c r="E227" t="inlineStr">
        <is>
          <t>FIT/FIP</t>
        </is>
      </c>
      <c r="F227" t="inlineStr">
        <is>
          <t>GGLS1, GGLS4</t>
        </is>
      </c>
      <c r="G227" t="inlineStr">
        <is>
          <t>AR, Cat 4, Cat 5</t>
        </is>
      </c>
      <c r="H227" t="inlineStr">
        <is>
          <t>2025-12-15</t>
        </is>
      </c>
      <c r="I227" t="inlineStr">
        <is>
          <t>2030-12-14</t>
        </is>
      </c>
      <c r="J227" t="inlineStr">
        <is>
          <t>PT Sucofindo</t>
        </is>
      </c>
      <c r="K227" t="inlineStr">
        <is>
          <t>Valid</t>
        </is>
      </c>
    </row>
    <row r="228">
      <c r="A228" t="inlineStr">
        <is>
          <t>2013133980441772032</t>
        </is>
      </c>
      <c r="B228" t="inlineStr">
        <is>
          <t>PT Karya Dewi Putra</t>
        </is>
      </c>
      <c r="C228" t="inlineStr">
        <is>
          <t>Indonesia</t>
        </is>
      </c>
      <c r="D228" t="inlineStr">
        <is>
          <t>Biomass producer</t>
        </is>
      </c>
      <c r="E228" t="inlineStr">
        <is>
          <t>FIT/FIP</t>
        </is>
      </c>
      <c r="F228" t="inlineStr">
        <is>
          <t>GGLS1, GGLS4</t>
        </is>
      </c>
      <c r="G228" t="inlineStr">
        <is>
          <t>AR, Cat 4, Cat 5</t>
        </is>
      </c>
      <c r="H228" t="inlineStr">
        <is>
          <t>2025-12-30</t>
        </is>
      </c>
      <c r="I228" t="inlineStr">
        <is>
          <t>2030-12-29</t>
        </is>
      </c>
      <c r="J228" t="inlineStr">
        <is>
          <t>PT Sucofindo</t>
        </is>
      </c>
      <c r="K228" t="inlineStr">
        <is>
          <t>Valid</t>
        </is>
      </c>
    </row>
    <row r="229">
      <c r="A229" t="inlineStr">
        <is>
          <t>1879780900225417216</t>
        </is>
      </c>
      <c r="B229" t="inlineStr">
        <is>
          <t>PT Kebun Pantai Raja</t>
        </is>
      </c>
      <c r="C229" t="inlineStr">
        <is>
          <t>Indonesia</t>
        </is>
      </c>
      <c r="D229" t="inlineStr">
        <is>
          <t>First collector</t>
        </is>
      </c>
      <c r="E229" t="inlineStr">
        <is>
          <t>FIT/FIP</t>
        </is>
      </c>
      <c r="F229" t="inlineStr">
        <is>
          <t>GGLS1, GGLS4</t>
        </is>
      </c>
      <c r="G229" t="inlineStr">
        <is>
          <t>AR, Cat 5</t>
        </is>
      </c>
      <c r="H229" t="inlineStr">
        <is>
          <t>2024-02-15</t>
        </is>
      </c>
      <c r="I229" t="inlineStr">
        <is>
          <t>2029-02-14</t>
        </is>
      </c>
      <c r="J229" t="inlineStr">
        <is>
          <t>PT SBC Asia Sertifikasi</t>
        </is>
      </c>
      <c r="K229" t="inlineStr">
        <is>
          <t>Valid</t>
        </is>
      </c>
    </row>
    <row r="230">
      <c r="A230" t="inlineStr">
        <is>
          <t>2013796510113726464</t>
        </is>
      </c>
      <c r="B230" t="inlineStr">
        <is>
          <t>PT Kemilau Indah Nusantara</t>
        </is>
      </c>
      <c r="C230" t="inlineStr">
        <is>
          <t>Indonesia</t>
        </is>
      </c>
      <c r="D230" t="inlineStr">
        <is>
          <t>Biomass producer</t>
        </is>
      </c>
      <c r="E230" t="inlineStr">
        <is>
          <t>FIT/FIP</t>
        </is>
      </c>
      <c r="F230" t="inlineStr">
        <is>
          <t>GGLS1, GGLS4</t>
        </is>
      </c>
      <c r="G230" t="inlineStr">
        <is>
          <t>AR, Cat 4, Cat 5</t>
        </is>
      </c>
      <c r="H230" t="inlineStr">
        <is>
          <t>2025-11-30</t>
        </is>
      </c>
      <c r="I230" t="inlineStr">
        <is>
          <t>2030-11-29</t>
        </is>
      </c>
      <c r="J230" t="inlineStr">
        <is>
          <t>PT Sucofindo</t>
        </is>
      </c>
      <c r="K230" t="inlineStr">
        <is>
          <t>Valid</t>
        </is>
      </c>
    </row>
    <row r="231">
      <c r="A231" t="inlineStr">
        <is>
          <t>2093037583159263232</t>
        </is>
      </c>
      <c r="B231" t="inlineStr">
        <is>
          <t>PT Kencana Mas Sedjati</t>
        </is>
      </c>
      <c r="C231" t="inlineStr">
        <is>
          <t>Indonesia</t>
        </is>
      </c>
      <c r="D231" t="inlineStr">
        <is>
          <t>First collector</t>
        </is>
      </c>
      <c r="E231" t="inlineStr">
        <is>
          <t>FIT/FIP</t>
        </is>
      </c>
      <c r="F231" t="inlineStr">
        <is>
          <t>GGLS1, GGLS4</t>
        </is>
      </c>
      <c r="G231" t="inlineStr">
        <is>
          <t>AR</t>
        </is>
      </c>
      <c r="H231" t="inlineStr">
        <is>
          <t>2026-08-26</t>
        </is>
      </c>
      <c r="I231" t="inlineStr">
        <is>
          <t>2031-08-25</t>
        </is>
      </c>
      <c r="J231" t="inlineStr">
        <is>
          <t>BM Certification</t>
        </is>
      </c>
      <c r="K231" t="inlineStr">
        <is>
          <t>Valid</t>
        </is>
      </c>
    </row>
    <row r="232">
      <c r="A232" t="inlineStr">
        <is>
          <t>1935947965793304576</t>
        </is>
      </c>
      <c r="B232" t="inlineStr">
        <is>
          <t>PT LAUTAN REZEKI SEMESTA</t>
        </is>
      </c>
      <c r="C232" t="inlineStr">
        <is>
          <t>Indonesia</t>
        </is>
      </c>
      <c r="D232" t="inlineStr">
        <is>
          <t>First collector</t>
        </is>
      </c>
      <c r="E232" t="inlineStr">
        <is>
          <t>FIT/FIP</t>
        </is>
      </c>
      <c r="F232" t="inlineStr">
        <is>
          <t>GGLS1, GGLS4</t>
        </is>
      </c>
      <c r="G232" t="inlineStr">
        <is>
          <t>AR</t>
        </is>
      </c>
      <c r="H232" t="inlineStr">
        <is>
          <t>2025-02-02</t>
        </is>
      </c>
      <c r="I232" t="inlineStr">
        <is>
          <t>2030-02-01</t>
        </is>
      </c>
      <c r="J232" t="inlineStr">
        <is>
          <t>PT Carsurin Certiva International</t>
        </is>
      </c>
      <c r="K232" t="inlineStr">
        <is>
          <t>Valid</t>
        </is>
      </c>
    </row>
    <row r="233">
      <c r="A233" t="inlineStr">
        <is>
          <t>1897094935077715968</t>
        </is>
      </c>
      <c r="B233" t="inlineStr">
        <is>
          <t>PT Limas Sawit Sejahtera</t>
        </is>
      </c>
      <c r="C233" t="inlineStr">
        <is>
          <t>Indonesia</t>
        </is>
      </c>
      <c r="D233" t="inlineStr">
        <is>
          <t>First collector</t>
        </is>
      </c>
      <c r="E233" t="inlineStr">
        <is>
          <t>FIT/FIP</t>
        </is>
      </c>
      <c r="F233" t="inlineStr">
        <is>
          <t>GGLS1, GGLS4</t>
        </is>
      </c>
      <c r="G233" t="inlineStr">
        <is>
          <t>AR, Cat 5</t>
        </is>
      </c>
      <c r="H233" t="inlineStr">
        <is>
          <t>2025-01-07</t>
        </is>
      </c>
      <c r="I233" t="inlineStr">
        <is>
          <t>2030-01-06</t>
        </is>
      </c>
      <c r="J233" t="inlineStr">
        <is>
          <t>PT SBC Asia Sertifikasi</t>
        </is>
      </c>
      <c r="K233" t="inlineStr">
        <is>
          <t>Valid</t>
        </is>
      </c>
    </row>
    <row r="234">
      <c r="A234" t="inlineStr">
        <is>
          <t>2011354238742953984</t>
        </is>
      </c>
      <c r="B234" t="inlineStr">
        <is>
          <t>PT MCENERGY BIOMASS INDONESIA</t>
        </is>
      </c>
      <c r="C234" t="inlineStr">
        <is>
          <t>Indonesia</t>
        </is>
      </c>
      <c r="D234" t="inlineStr">
        <is>
          <t>First collector</t>
        </is>
      </c>
      <c r="E234" t="inlineStr">
        <is>
          <t>FIT/FIP</t>
        </is>
      </c>
      <c r="F234" t="inlineStr">
        <is>
          <t>GGLS1, GGLS4</t>
        </is>
      </c>
      <c r="G234" t="inlineStr">
        <is>
          <t>WB</t>
        </is>
      </c>
      <c r="H234" t="inlineStr">
        <is>
          <t>2025-12-22</t>
        </is>
      </c>
      <c r="I234" t="inlineStr">
        <is>
          <t>2030-12-21</t>
        </is>
      </c>
      <c r="J234" t="inlineStr">
        <is>
          <t>PT Intertek Utama Services</t>
        </is>
      </c>
      <c r="K234" t="inlineStr">
        <is>
          <t>Valid</t>
        </is>
      </c>
    </row>
    <row r="235">
      <c r="A235" t="inlineStr">
        <is>
          <t>1912349681371840512</t>
        </is>
      </c>
      <c r="B235" t="inlineStr">
        <is>
          <t>PT MERIAH BINAKREASI</t>
        </is>
      </c>
      <c r="C235" t="inlineStr">
        <is>
          <t>Indonesia</t>
        </is>
      </c>
      <c r="D235" t="inlineStr">
        <is>
          <t>First collector</t>
        </is>
      </c>
      <c r="E235" t="inlineStr">
        <is>
          <t>FIT/FIP</t>
        </is>
      </c>
      <c r="F235" t="inlineStr">
        <is>
          <t>GGLS1, GGLS4</t>
        </is>
      </c>
      <c r="G235" t="inlineStr">
        <is>
          <t>AR</t>
        </is>
      </c>
      <c r="H235" t="inlineStr">
        <is>
          <t>2025-02-25</t>
        </is>
      </c>
      <c r="I235" t="inlineStr">
        <is>
          <t>2030-02-24</t>
        </is>
      </c>
      <c r="J235" t="inlineStr">
        <is>
          <t>PT Carsurin Certiva International</t>
        </is>
      </c>
      <c r="K235" t="inlineStr">
        <is>
          <t>Valid</t>
        </is>
      </c>
    </row>
    <row r="236">
      <c r="A236" t="inlineStr">
        <is>
          <t>1892423963162705920</t>
        </is>
      </c>
      <c r="B236" t="inlineStr">
        <is>
          <t>PT Mitra Aneka Rezeki</t>
        </is>
      </c>
      <c r="C236" t="inlineStr">
        <is>
          <t>Indonesia</t>
        </is>
      </c>
      <c r="D236" t="inlineStr">
        <is>
          <t>Biomass producer</t>
        </is>
      </c>
      <c r="E236" t="inlineStr">
        <is>
          <t>FIT/FIP</t>
        </is>
      </c>
      <c r="F236" t="inlineStr">
        <is>
          <t>GGLS1, GGLS4</t>
        </is>
      </c>
      <c r="G236" t="inlineStr">
        <is>
          <t>AR</t>
        </is>
      </c>
      <c r="H236" t="inlineStr">
        <is>
          <t>2024-11-04</t>
        </is>
      </c>
      <c r="I236" t="inlineStr">
        <is>
          <t>2029-11-03</t>
        </is>
      </c>
      <c r="J236" t="inlineStr">
        <is>
          <t>PT Sucofindo</t>
        </is>
      </c>
      <c r="K236" t="inlineStr">
        <is>
          <t>Valid</t>
        </is>
      </c>
    </row>
    <row r="237">
      <c r="A237" t="inlineStr">
        <is>
          <t>1925851064276353024</t>
        </is>
      </c>
      <c r="B237" t="inlineStr">
        <is>
          <t>PT NARA SINERGI BIOMASSA</t>
        </is>
      </c>
      <c r="C237" t="inlineStr">
        <is>
          <t>Indonesia</t>
        </is>
      </c>
      <c r="D237" t="inlineStr">
        <is>
          <t>First collector</t>
        </is>
      </c>
      <c r="E237" t="inlineStr">
        <is>
          <t>FIT/FIP</t>
        </is>
      </c>
      <c r="F237" t="inlineStr">
        <is>
          <t>GGLS1, GGLS4</t>
        </is>
      </c>
      <c r="G237" t="inlineStr">
        <is>
          <t>AR</t>
        </is>
      </c>
      <c r="H237" t="inlineStr">
        <is>
          <t>2025-05-08</t>
        </is>
      </c>
      <c r="I237" t="inlineStr">
        <is>
          <t>2030-05-07</t>
        </is>
      </c>
      <c r="J237" t="inlineStr">
        <is>
          <t>PT Carsurin Certiva International</t>
        </is>
      </c>
      <c r="K237" t="inlineStr">
        <is>
          <t>Valid</t>
        </is>
      </c>
    </row>
    <row r="238">
      <c r="A238" t="inlineStr">
        <is>
          <t>1873656462228586496</t>
        </is>
      </c>
      <c r="B238" t="inlineStr">
        <is>
          <t>PT NEW ENERGY DEVELOPMENT DUMAI</t>
        </is>
      </c>
      <c r="C238" t="inlineStr">
        <is>
          <t>Indonesia</t>
        </is>
      </c>
      <c r="D238" t="inlineStr">
        <is>
          <t>First collector</t>
        </is>
      </c>
      <c r="E238" t="inlineStr">
        <is>
          <t>FIT/FIP</t>
        </is>
      </c>
      <c r="F238" t="inlineStr">
        <is>
          <t>GGLS1, GGLS4</t>
        </is>
      </c>
      <c r="G238" t="inlineStr">
        <is>
          <t>AR</t>
        </is>
      </c>
      <c r="H238" t="inlineStr">
        <is>
          <t>2024-01-27</t>
        </is>
      </c>
      <c r="I238" t="inlineStr">
        <is>
          <t>2029-01-26</t>
        </is>
      </c>
      <c r="J238" t="inlineStr">
        <is>
          <t>PT Carsurin Certiva International</t>
        </is>
      </c>
      <c r="K238" t="inlineStr">
        <is>
          <t>Valid</t>
        </is>
      </c>
    </row>
    <row r="239">
      <c r="A239" t="inlineStr">
        <is>
          <t>1873694937552257024</t>
        </is>
      </c>
      <c r="B239" t="inlineStr">
        <is>
          <t>PT NUSANTARA ANDAL MANDIRI</t>
        </is>
      </c>
      <c r="C239" t="inlineStr">
        <is>
          <t>Indonesia</t>
        </is>
      </c>
      <c r="D239" t="inlineStr">
        <is>
          <t>First collector</t>
        </is>
      </c>
      <c r="E239" t="inlineStr">
        <is>
          <t>FIT/FIP</t>
        </is>
      </c>
      <c r="F239" t="inlineStr">
        <is>
          <t>GGLS1, GGLS4</t>
        </is>
      </c>
      <c r="G239" t="inlineStr">
        <is>
          <t>AR</t>
        </is>
      </c>
      <c r="H239" t="inlineStr">
        <is>
          <t>2024-11-13</t>
        </is>
      </c>
      <c r="I239" t="inlineStr">
        <is>
          <t>2029-11-12</t>
        </is>
      </c>
      <c r="J239" t="inlineStr">
        <is>
          <t>PT Carsurin Certiva International</t>
        </is>
      </c>
      <c r="K239" t="inlineStr">
        <is>
          <t>Valid</t>
        </is>
      </c>
    </row>
    <row r="240">
      <c r="A240" t="inlineStr">
        <is>
          <t>1873701704130625536</t>
        </is>
      </c>
      <c r="B240" t="inlineStr">
        <is>
          <t>PT ORBIS PALMAS NABATI</t>
        </is>
      </c>
      <c r="C240" t="inlineStr">
        <is>
          <t>Indonesia</t>
        </is>
      </c>
      <c r="D240" t="inlineStr">
        <is>
          <t>First collector</t>
        </is>
      </c>
      <c r="E240" t="inlineStr">
        <is>
          <t>FIT/FIP</t>
        </is>
      </c>
      <c r="F240" t="inlineStr">
        <is>
          <t>GGLS1, GGLS4</t>
        </is>
      </c>
      <c r="G240" t="inlineStr">
        <is>
          <t>AR</t>
        </is>
      </c>
      <c r="H240" t="inlineStr">
        <is>
          <t>2024-06-12</t>
        </is>
      </c>
      <c r="I240" t="inlineStr">
        <is>
          <t>2029-06-11</t>
        </is>
      </c>
      <c r="J240" t="inlineStr">
        <is>
          <t>PT Carsurin Certiva International</t>
        </is>
      </c>
      <c r="K240" t="inlineStr">
        <is>
          <t>Valid</t>
        </is>
      </c>
    </row>
    <row r="241">
      <c r="A241" t="inlineStr">
        <is>
          <t>1873649885769629696</t>
        </is>
      </c>
      <c r="B241" t="inlineStr">
        <is>
          <t>PT PERMATA SUBUR LESTARI</t>
        </is>
      </c>
      <c r="C241" t="inlineStr">
        <is>
          <t>Indonesia</t>
        </is>
      </c>
      <c r="D241" t="inlineStr">
        <is>
          <t>First collector</t>
        </is>
      </c>
      <c r="E241" t="inlineStr">
        <is>
          <t>FIT/FIP</t>
        </is>
      </c>
      <c r="F241" t="inlineStr">
        <is>
          <t>GGLS1, GGLS4</t>
        </is>
      </c>
      <c r="G241" t="inlineStr">
        <is>
          <t>AR</t>
        </is>
      </c>
      <c r="H241" t="inlineStr">
        <is>
          <t>2023-12-29</t>
        </is>
      </c>
      <c r="I241" t="inlineStr">
        <is>
          <t>2028-12-28</t>
        </is>
      </c>
      <c r="J241" t="inlineStr">
        <is>
          <t>PT Carsurin Certiva International</t>
        </is>
      </c>
      <c r="K241" t="inlineStr">
        <is>
          <t>Valid</t>
        </is>
      </c>
    </row>
    <row r="242">
      <c r="A242" t="inlineStr">
        <is>
          <t>1873694653874700288</t>
        </is>
      </c>
      <c r="B242" t="inlineStr">
        <is>
          <t>PT PRIMA BIOENERGI NUSANTARA</t>
        </is>
      </c>
      <c r="C242" t="inlineStr">
        <is>
          <t>Indonesia</t>
        </is>
      </c>
      <c r="D242" t="inlineStr">
        <is>
          <t>First collector</t>
        </is>
      </c>
      <c r="E242" t="inlineStr">
        <is>
          <t>FIT/FIP</t>
        </is>
      </c>
      <c r="F242" t="inlineStr">
        <is>
          <t>GGLS1, GGLS4</t>
        </is>
      </c>
      <c r="G242" t="inlineStr">
        <is>
          <t>AR</t>
        </is>
      </c>
      <c r="H242" t="inlineStr">
        <is>
          <t>2024-11-28</t>
        </is>
      </c>
      <c r="I242" t="inlineStr">
        <is>
          <t>2029-11-27</t>
        </is>
      </c>
      <c r="J242" t="inlineStr">
        <is>
          <t>PT Carsurin Certiva International</t>
        </is>
      </c>
      <c r="K242" t="inlineStr">
        <is>
          <t>Valid</t>
        </is>
      </c>
    </row>
    <row r="243">
      <c r="A243" t="inlineStr">
        <is>
          <t>1911979304741240832</t>
        </is>
      </c>
      <c r="B243" t="inlineStr">
        <is>
          <t>PT PUSAKAMEGAH BUMINUSANTARA</t>
        </is>
      </c>
      <c r="C243" t="inlineStr">
        <is>
          <t>Indonesia</t>
        </is>
      </c>
      <c r="D243" t="inlineStr">
        <is>
          <t>First collector</t>
        </is>
      </c>
      <c r="E243" t="inlineStr">
        <is>
          <t>FIT/FIP</t>
        </is>
      </c>
      <c r="F243" t="inlineStr">
        <is>
          <t>GGLS1, GGLS4</t>
        </is>
      </c>
      <c r="G243" t="inlineStr">
        <is>
          <t>AR, Cat 5</t>
        </is>
      </c>
      <c r="H243" t="inlineStr">
        <is>
          <t>2023-12-29</t>
        </is>
      </c>
      <c r="I243" t="inlineStr">
        <is>
          <t>2028-12-28</t>
        </is>
      </c>
      <c r="J243" t="inlineStr">
        <is>
          <t>PT Carsurin Certiva International</t>
        </is>
      </c>
      <c r="K243" t="inlineStr">
        <is>
          <t>Valid</t>
        </is>
      </c>
    </row>
    <row r="244">
      <c r="A244" t="inlineStr">
        <is>
          <t>1895323376646356992</t>
        </is>
      </c>
      <c r="B244" t="inlineStr">
        <is>
          <t>PT Palem Agro Mas</t>
        </is>
      </c>
      <c r="C244" t="inlineStr">
        <is>
          <t>Indonesia</t>
        </is>
      </c>
      <c r="D244" t="inlineStr">
        <is>
          <t>First collector</t>
        </is>
      </c>
      <c r="E244" t="inlineStr">
        <is>
          <t>FIT/FIP</t>
        </is>
      </c>
      <c r="F244" t="inlineStr">
        <is>
          <t>GGLS1, GGLS4</t>
        </is>
      </c>
      <c r="G244" t="inlineStr">
        <is>
          <t>AR, Cat 5</t>
        </is>
      </c>
      <c r="H244" t="inlineStr">
        <is>
          <t>2025-02-12</t>
        </is>
      </c>
      <c r="I244" t="inlineStr">
        <is>
          <t>2030-02-11</t>
        </is>
      </c>
      <c r="J244" t="inlineStr">
        <is>
          <t>PT SBC Asia Sertifikasi</t>
        </is>
      </c>
      <c r="K244" t="inlineStr">
        <is>
          <t>Valid</t>
        </is>
      </c>
    </row>
    <row r="245">
      <c r="A245" t="inlineStr">
        <is>
          <t>1882865186361049088</t>
        </is>
      </c>
      <c r="B245" t="inlineStr">
        <is>
          <t>PT Palma Serasih Internasional</t>
        </is>
      </c>
      <c r="C245" t="inlineStr">
        <is>
          <t>Indonesia</t>
        </is>
      </c>
      <c r="D245" t="inlineStr">
        <is>
          <t>First collector</t>
        </is>
      </c>
      <c r="E245" t="inlineStr">
        <is>
          <t>FIT/FIP</t>
        </is>
      </c>
      <c r="F245" t="inlineStr">
        <is>
          <t>GGLS1, GGLS4</t>
        </is>
      </c>
      <c r="G245" t="inlineStr">
        <is>
          <t>AR</t>
        </is>
      </c>
      <c r="H245" t="inlineStr">
        <is>
          <t>2024-04-22</t>
        </is>
      </c>
      <c r="I245" t="inlineStr">
        <is>
          <t>2029-04-21</t>
        </is>
      </c>
      <c r="J245" t="inlineStr">
        <is>
          <t>Control Union</t>
        </is>
      </c>
      <c r="K245" t="inlineStr">
        <is>
          <t>Valid</t>
        </is>
      </c>
    </row>
    <row r="246">
      <c r="A246" t="inlineStr">
        <is>
          <t>1883192465251368960</t>
        </is>
      </c>
      <c r="B246" t="inlineStr">
        <is>
          <t>PT Parawood Co., Ltd.</t>
        </is>
      </c>
      <c r="C246" t="inlineStr">
        <is>
          <t>Thailand</t>
        </is>
      </c>
      <c r="D246" t="inlineStr">
        <is>
          <t>Trader</t>
        </is>
      </c>
      <c r="E246" t="inlineStr">
        <is>
          <t>SDE++</t>
        </is>
      </c>
      <c r="F246" t="inlineStr">
        <is>
          <t>GGLS1, GGLS4</t>
        </is>
      </c>
      <c r="G246" t="inlineStr">
        <is>
          <t>Cat 5</t>
        </is>
      </c>
      <c r="H246" t="inlineStr">
        <is>
          <t>2023-10-20</t>
        </is>
      </c>
      <c r="I246" t="inlineStr">
        <is>
          <t>2028-10-19</t>
        </is>
      </c>
      <c r="J246" t="inlineStr">
        <is>
          <t>Control Union</t>
        </is>
      </c>
      <c r="K246" t="inlineStr">
        <is>
          <t>Valid</t>
        </is>
      </c>
    </row>
    <row r="247">
      <c r="A247" t="inlineStr">
        <is>
          <t>1986350376579760128</t>
        </is>
      </c>
      <c r="B247" t="inlineStr">
        <is>
          <t>PT Pelita Bioenergi Nusantara</t>
        </is>
      </c>
      <c r="C247" t="inlineStr">
        <is>
          <t>Indonesia</t>
        </is>
      </c>
      <c r="D247" t="inlineStr">
        <is>
          <t>Trader</t>
        </is>
      </c>
      <c r="E247" t="inlineStr">
        <is>
          <t>FIT/FIP</t>
        </is>
      </c>
      <c r="F247" t="inlineStr">
        <is>
          <t>GGLS1, GGLS4</t>
        </is>
      </c>
      <c r="G247" t="inlineStr">
        <is>
          <t>AR, Cat 5</t>
        </is>
      </c>
      <c r="H247" t="inlineStr">
        <is>
          <t>2025-10-18</t>
        </is>
      </c>
      <c r="I247" t="inlineStr">
        <is>
          <t>2030-10-17</t>
        </is>
      </c>
      <c r="J247" t="inlineStr">
        <is>
          <t>Control Union</t>
        </is>
      </c>
      <c r="K247" t="inlineStr">
        <is>
          <t>Valid</t>
        </is>
      </c>
    </row>
    <row r="248">
      <c r="A248" t="inlineStr">
        <is>
          <t>1882777908779417600</t>
        </is>
      </c>
      <c r="B248" t="inlineStr">
        <is>
          <t>PT Pelita Natura Nusantara</t>
        </is>
      </c>
      <c r="C248" t="inlineStr">
        <is>
          <t>Indonesia</t>
        </is>
      </c>
      <c r="D248" t="inlineStr">
        <is>
          <t>First collector</t>
        </is>
      </c>
      <c r="E248" t="inlineStr">
        <is>
          <t>FIT/FIP</t>
        </is>
      </c>
      <c r="F248" t="inlineStr">
        <is>
          <t>GGLS1, GGLS4</t>
        </is>
      </c>
      <c r="G248" t="inlineStr">
        <is>
          <t>AR</t>
        </is>
      </c>
      <c r="H248" t="inlineStr">
        <is>
          <t>2024-05-28</t>
        </is>
      </c>
      <c r="I248" t="inlineStr">
        <is>
          <t>2029-05-27</t>
        </is>
      </c>
      <c r="J248" t="inlineStr">
        <is>
          <t>Control Union</t>
        </is>
      </c>
      <c r="K248" t="inlineStr">
        <is>
          <t>Valid</t>
        </is>
      </c>
    </row>
    <row r="249">
      <c r="A249" t="inlineStr">
        <is>
          <t>2013798890603544576</t>
        </is>
      </c>
      <c r="B249" t="inlineStr">
        <is>
          <t>PT Permata Lestari Jaya</t>
        </is>
      </c>
      <c r="C249" t="inlineStr">
        <is>
          <t>Indonesia</t>
        </is>
      </c>
      <c r="D249" t="inlineStr">
        <is>
          <t>Biomass producer</t>
        </is>
      </c>
      <c r="E249" t="inlineStr">
        <is>
          <t>FIT/FIP</t>
        </is>
      </c>
      <c r="F249" t="inlineStr">
        <is>
          <t>GGLS1, GGLS4</t>
        </is>
      </c>
      <c r="G249" t="inlineStr">
        <is>
          <t>AR, Cat 4, Cat 5</t>
        </is>
      </c>
      <c r="H249" t="inlineStr">
        <is>
          <t>2025-12-22</t>
        </is>
      </c>
      <c r="I249" t="inlineStr">
        <is>
          <t>2030-12-21</t>
        </is>
      </c>
      <c r="J249" t="inlineStr">
        <is>
          <t>PT Sucofindo</t>
        </is>
      </c>
      <c r="K249" t="inlineStr">
        <is>
          <t>Valid</t>
        </is>
      </c>
    </row>
    <row r="250">
      <c r="A250" t="inlineStr">
        <is>
          <t>2069640229588828160</t>
        </is>
      </c>
      <c r="B250" t="inlineStr">
        <is>
          <t>PT Poeser Suar Biomass</t>
        </is>
      </c>
      <c r="C250" t="inlineStr">
        <is>
          <t>Indonesia</t>
        </is>
      </c>
      <c r="D250" t="inlineStr">
        <is>
          <t>Trader</t>
        </is>
      </c>
      <c r="E250" t="inlineStr">
        <is>
          <t>FIT/FIP</t>
        </is>
      </c>
      <c r="F250" t="inlineStr">
        <is>
          <t>GGLS1, GGLS4</t>
        </is>
      </c>
      <c r="G250" t="inlineStr">
        <is>
          <t>AR, Cat 5, WB</t>
        </is>
      </c>
      <c r="H250" t="inlineStr">
        <is>
          <t>2026-02-09</t>
        </is>
      </c>
      <c r="I250" t="inlineStr">
        <is>
          <t>2031-02-08</t>
        </is>
      </c>
      <c r="J250" t="inlineStr">
        <is>
          <t>Control Union</t>
        </is>
      </c>
      <c r="K250" t="inlineStr">
        <is>
          <t>Valid</t>
        </is>
      </c>
    </row>
    <row r="251">
      <c r="A251" t="inlineStr">
        <is>
          <t>1883531812320313344</t>
        </is>
      </c>
      <c r="B251" t="inlineStr">
        <is>
          <t>PT Prima Khatulistiwa Sinergi</t>
        </is>
      </c>
      <c r="C251" t="inlineStr">
        <is>
          <t>Indonesia</t>
        </is>
      </c>
      <c r="D251" t="inlineStr">
        <is>
          <t>Trader</t>
        </is>
      </c>
      <c r="E251" t="inlineStr">
        <is>
          <t>FIT/FIP</t>
        </is>
      </c>
      <c r="F251" t="inlineStr">
        <is>
          <t>GGLS1, GGLS4</t>
        </is>
      </c>
      <c r="G251" t="inlineStr">
        <is>
          <t>AR, Cat 5</t>
        </is>
      </c>
      <c r="H251" t="inlineStr">
        <is>
          <t>2024-07-23</t>
        </is>
      </c>
      <c r="I251" t="inlineStr">
        <is>
          <t>2029-07-22</t>
        </is>
      </c>
      <c r="J251" t="inlineStr">
        <is>
          <t>PT PCU Indonesia</t>
        </is>
      </c>
      <c r="K251" t="inlineStr">
        <is>
          <t>Valid</t>
        </is>
      </c>
    </row>
    <row r="252">
      <c r="A252" t="inlineStr">
        <is>
          <t>1879784394802069504</t>
        </is>
      </c>
      <c r="B252" t="inlineStr">
        <is>
          <t>PT Pujud Karya Sawit</t>
        </is>
      </c>
      <c r="C252" t="inlineStr">
        <is>
          <t>Indonesia</t>
        </is>
      </c>
      <c r="D252" t="inlineStr">
        <is>
          <t>Biomass producer, First collector</t>
        </is>
      </c>
      <c r="E252" t="inlineStr">
        <is>
          <t>FIT/FIP</t>
        </is>
      </c>
      <c r="F252" t="inlineStr">
        <is>
          <t>GGLS1, GGLS4</t>
        </is>
      </c>
      <c r="G252" t="inlineStr">
        <is>
          <t>AR, Cat 5</t>
        </is>
      </c>
      <c r="H252" t="inlineStr">
        <is>
          <t>2024-04-04</t>
        </is>
      </c>
      <c r="I252" t="inlineStr">
        <is>
          <t>2029-04-03</t>
        </is>
      </c>
      <c r="J252" t="inlineStr">
        <is>
          <t>PT SBC Asia Sertifikasi</t>
        </is>
      </c>
      <c r="K252" t="inlineStr">
        <is>
          <t>Valid</t>
        </is>
      </c>
    </row>
    <row r="253">
      <c r="A253" t="inlineStr">
        <is>
          <t>2032355632664805376</t>
        </is>
      </c>
      <c r="B253" t="inlineStr">
        <is>
          <t>PT RDL INDO GREEN VENTURE</t>
        </is>
      </c>
      <c r="C253" t="inlineStr">
        <is>
          <t>Indonesia</t>
        </is>
      </c>
      <c r="D253" t="inlineStr">
        <is>
          <t>First collector</t>
        </is>
      </c>
      <c r="E253" t="inlineStr">
        <is>
          <t>FIT/FIP</t>
        </is>
      </c>
      <c r="F253" t="inlineStr">
        <is>
          <t>GGLS1, GGLS4</t>
        </is>
      </c>
      <c r="G253" t="inlineStr">
        <is>
          <t>AR</t>
        </is>
      </c>
      <c r="H253" t="inlineStr">
        <is>
          <t>2026-03-11</t>
        </is>
      </c>
      <c r="I253" t="inlineStr">
        <is>
          <t>2031-03-10</t>
        </is>
      </c>
      <c r="J253" t="inlineStr">
        <is>
          <t>PT Carsurin Certiva International</t>
        </is>
      </c>
      <c r="K253" t="inlineStr">
        <is>
          <t>Valid</t>
        </is>
      </c>
    </row>
    <row r="254">
      <c r="A254" t="inlineStr">
        <is>
          <t>1873671066560233472</t>
        </is>
      </c>
      <c r="B254" t="inlineStr">
        <is>
          <t>PT RIAU SEMESTA BIOMASSA</t>
        </is>
      </c>
      <c r="C254" t="inlineStr">
        <is>
          <t>Indonesia</t>
        </is>
      </c>
      <c r="D254" t="inlineStr">
        <is>
          <t>First collector</t>
        </is>
      </c>
      <c r="E254" t="inlineStr">
        <is>
          <t>FIT/FIP</t>
        </is>
      </c>
      <c r="F254" t="inlineStr">
        <is>
          <t>GGLS1, GGLS4</t>
        </is>
      </c>
      <c r="G254" t="inlineStr">
        <is>
          <t>AR</t>
        </is>
      </c>
      <c r="H254" t="inlineStr">
        <is>
          <t>2024-03-08</t>
        </is>
      </c>
      <c r="I254" t="inlineStr">
        <is>
          <t>2029-03-07</t>
        </is>
      </c>
      <c r="J254" t="inlineStr">
        <is>
          <t>PT Carsurin Certiva International</t>
        </is>
      </c>
      <c r="K254" t="inlineStr">
        <is>
          <t>Valid</t>
        </is>
      </c>
    </row>
    <row r="255">
      <c r="A255" t="inlineStr">
        <is>
          <t>1873648261563154432</t>
        </is>
      </c>
      <c r="B255" t="inlineStr">
        <is>
          <t>PT SAMUDERA SAWIT SUBUR</t>
        </is>
      </c>
      <c r="C255" t="inlineStr">
        <is>
          <t>Indonesia</t>
        </is>
      </c>
      <c r="D255" t="inlineStr">
        <is>
          <t>First collector</t>
        </is>
      </c>
      <c r="E255" t="inlineStr">
        <is>
          <t>FIT/FIP</t>
        </is>
      </c>
      <c r="F255" t="inlineStr">
        <is>
          <t>GGLS1, GGLS4</t>
        </is>
      </c>
      <c r="G255" t="inlineStr">
        <is>
          <t>AR</t>
        </is>
      </c>
      <c r="H255" t="inlineStr">
        <is>
          <t>2023-10-31</t>
        </is>
      </c>
      <c r="I255" t="inlineStr">
        <is>
          <t>2028-10-30</t>
        </is>
      </c>
      <c r="J255" t="inlineStr">
        <is>
          <t>PT Carsurin Certiva International</t>
        </is>
      </c>
      <c r="K255" t="inlineStr">
        <is>
          <t>Valid</t>
        </is>
      </c>
    </row>
    <row r="256">
      <c r="A256" t="inlineStr">
        <is>
          <t>1873670551046717440</t>
        </is>
      </c>
      <c r="B256" t="inlineStr">
        <is>
          <t>PT SAUDARA ANUGERAH MAKMUR MANDIRI</t>
        </is>
      </c>
      <c r="C256" t="inlineStr">
        <is>
          <t>Indonesia</t>
        </is>
      </c>
      <c r="D256" t="inlineStr">
        <is>
          <t>First collector</t>
        </is>
      </c>
      <c r="E256" t="inlineStr">
        <is>
          <t>FIT/FIP</t>
        </is>
      </c>
      <c r="F256" t="inlineStr">
        <is>
          <t>GGLS1, GGLS4</t>
        </is>
      </c>
      <c r="G256" t="inlineStr">
        <is>
          <t>AR</t>
        </is>
      </c>
      <c r="H256" t="inlineStr">
        <is>
          <t>2024-02-20</t>
        </is>
      </c>
      <c r="I256" t="inlineStr">
        <is>
          <t>2029-02-19</t>
        </is>
      </c>
      <c r="J256" t="inlineStr">
        <is>
          <t>PT Carsurin Certiva International</t>
        </is>
      </c>
      <c r="K256" t="inlineStr">
        <is>
          <t>Valid</t>
        </is>
      </c>
    </row>
    <row r="257">
      <c r="A257" t="inlineStr">
        <is>
          <t>2003679112849260544</t>
        </is>
      </c>
      <c r="B257" t="inlineStr">
        <is>
          <t>PT SAWIT SUKSES SEJATI</t>
        </is>
      </c>
      <c r="C257" t="inlineStr">
        <is>
          <t>Indonesia</t>
        </is>
      </c>
      <c r="D257" t="inlineStr">
        <is>
          <t>First collector</t>
        </is>
      </c>
      <c r="E257" t="inlineStr">
        <is>
          <t>FIT/FIP</t>
        </is>
      </c>
      <c r="F257" t="inlineStr">
        <is>
          <t>GGLS1, GGLS4</t>
        </is>
      </c>
      <c r="G257" t="inlineStr">
        <is>
          <t>AR</t>
        </is>
      </c>
      <c r="H257" t="inlineStr">
        <is>
          <t>2025-11-03</t>
        </is>
      </c>
      <c r="I257" t="inlineStr">
        <is>
          <t>2030-11-02</t>
        </is>
      </c>
      <c r="J257" t="inlineStr">
        <is>
          <t>PT Carsurin Certiva International</t>
        </is>
      </c>
      <c r="K257" t="inlineStr">
        <is>
          <t>Valid</t>
        </is>
      </c>
    </row>
    <row r="258">
      <c r="A258" t="inlineStr">
        <is>
          <t>1873698584398921728</t>
        </is>
      </c>
      <c r="B258" t="inlineStr">
        <is>
          <t>PT SINAR BENGKULU SELATAN</t>
        </is>
      </c>
      <c r="C258" t="inlineStr">
        <is>
          <t>Indonesia</t>
        </is>
      </c>
      <c r="D258" t="inlineStr">
        <is>
          <t>Trader</t>
        </is>
      </c>
      <c r="E258" t="inlineStr">
        <is>
          <t>FIT/FIP</t>
        </is>
      </c>
      <c r="F258" t="inlineStr">
        <is>
          <t>GGLS1, GGLS4</t>
        </is>
      </c>
      <c r="G258" t="inlineStr">
        <is>
          <t>AR</t>
        </is>
      </c>
      <c r="H258" t="inlineStr">
        <is>
          <t>2024-08-15</t>
        </is>
      </c>
      <c r="I258" t="inlineStr">
        <is>
          <t>2029-08-14</t>
        </is>
      </c>
      <c r="J258" t="inlineStr">
        <is>
          <t>PT Carsurin Certiva International</t>
        </is>
      </c>
      <c r="K258" t="inlineStr">
        <is>
          <t>Valid</t>
        </is>
      </c>
    </row>
    <row r="259">
      <c r="A259" t="inlineStr">
        <is>
          <t>1912345721772703744</t>
        </is>
      </c>
      <c r="B259" t="inlineStr">
        <is>
          <t>PT SINAR SAWIT SENTOSA</t>
        </is>
      </c>
      <c r="C259" t="inlineStr">
        <is>
          <t>Indonesia</t>
        </is>
      </c>
      <c r="D259" t="inlineStr">
        <is>
          <t>Trader</t>
        </is>
      </c>
      <c r="E259" t="inlineStr">
        <is>
          <t>FIT/FIP</t>
        </is>
      </c>
      <c r="F259" t="inlineStr">
        <is>
          <t>GGLS1, GGLS4</t>
        </is>
      </c>
      <c r="G259" t="inlineStr">
        <is>
          <t>AR</t>
        </is>
      </c>
      <c r="H259" t="inlineStr">
        <is>
          <t>2024-09-05</t>
        </is>
      </c>
      <c r="I259" t="inlineStr">
        <is>
          <t>2029-09-04</t>
        </is>
      </c>
      <c r="J259" t="inlineStr">
        <is>
          <t>PT Carsurin Certiva International</t>
        </is>
      </c>
      <c r="K259" t="inlineStr">
        <is>
          <t>Valid</t>
        </is>
      </c>
    </row>
    <row r="260">
      <c r="A260" t="inlineStr">
        <is>
          <t>2070067518797512704</t>
        </is>
      </c>
      <c r="B260" t="inlineStr">
        <is>
          <t>PT SOLUSI BIOMASSA NUSANTARA</t>
        </is>
      </c>
      <c r="C260" t="inlineStr">
        <is>
          <t>Indonesia</t>
        </is>
      </c>
      <c r="D260" t="inlineStr">
        <is>
          <t>First collector, Trader</t>
        </is>
      </c>
      <c r="E260" t="inlineStr">
        <is>
          <t>FIT/FIP</t>
        </is>
      </c>
      <c r="F260" t="inlineStr">
        <is>
          <t>GGLS1, GGLS4</t>
        </is>
      </c>
      <c r="G260" t="inlineStr">
        <is>
          <t>AR, Cat 5</t>
        </is>
      </c>
      <c r="H260" t="inlineStr">
        <is>
          <t>2026-06-15</t>
        </is>
      </c>
      <c r="I260" t="inlineStr">
        <is>
          <t>2031-06-14</t>
        </is>
      </c>
      <c r="J260" t="inlineStr">
        <is>
          <t>PT Carsurin Certiva International</t>
        </is>
      </c>
      <c r="K260" t="inlineStr">
        <is>
          <t>Valid</t>
        </is>
      </c>
    </row>
    <row r="261">
      <c r="A261" t="inlineStr">
        <is>
          <t>1960244208396664832</t>
        </is>
      </c>
      <c r="B261" t="inlineStr">
        <is>
          <t>PT SUMBER FALAH JAYA</t>
        </is>
      </c>
      <c r="C261" t="inlineStr">
        <is>
          <t>Indonesia</t>
        </is>
      </c>
      <c r="D261" t="inlineStr">
        <is>
          <t>First collector</t>
        </is>
      </c>
      <c r="E261" t="inlineStr">
        <is>
          <t>FIT/FIP</t>
        </is>
      </c>
      <c r="F261" t="inlineStr">
        <is>
          <t>GGLS1, GGLS4</t>
        </is>
      </c>
      <c r="G261" t="inlineStr">
        <is>
          <t>AR</t>
        </is>
      </c>
      <c r="H261" t="inlineStr">
        <is>
          <t>2025-08-23</t>
        </is>
      </c>
      <c r="I261" t="inlineStr">
        <is>
          <t>2030-08-22</t>
        </is>
      </c>
      <c r="J261" t="inlineStr">
        <is>
          <t>PT Carsurin Certiva International</t>
        </is>
      </c>
      <c r="K261" t="inlineStr">
        <is>
          <t>Valid</t>
        </is>
      </c>
    </row>
    <row r="262">
      <c r="A262" t="inlineStr">
        <is>
          <t>1873699869000990720</t>
        </is>
      </c>
      <c r="B262" t="inlineStr">
        <is>
          <t>PT SWASTI MANDALA PERKASA</t>
        </is>
      </c>
      <c r="C262" t="inlineStr">
        <is>
          <t>Indonesia</t>
        </is>
      </c>
      <c r="D262" t="inlineStr">
        <is>
          <t>First collector</t>
        </is>
      </c>
      <c r="E262" t="inlineStr">
        <is>
          <t>FIT/FIP</t>
        </is>
      </c>
      <c r="F262" t="inlineStr">
        <is>
          <t>GGLS1, GGLS4</t>
        </is>
      </c>
      <c r="G262" t="inlineStr">
        <is>
          <t>AR</t>
        </is>
      </c>
      <c r="H262" t="inlineStr">
        <is>
          <t>2024-06-12</t>
        </is>
      </c>
      <c r="I262" t="inlineStr">
        <is>
          <t>2029-06-11</t>
        </is>
      </c>
      <c r="J262" t="inlineStr">
        <is>
          <t>PT Carsurin Certiva International</t>
        </is>
      </c>
      <c r="K262" t="inlineStr">
        <is>
          <t>Valid</t>
        </is>
      </c>
    </row>
    <row r="263">
      <c r="A263" t="inlineStr">
        <is>
          <t>1873699869000990720</t>
        </is>
      </c>
      <c r="B263" t="inlineStr">
        <is>
          <t>PT SWASTI MANDALA PERKASA</t>
        </is>
      </c>
      <c r="C263" t="inlineStr">
        <is>
          <t>Indonesia</t>
        </is>
      </c>
      <c r="D263" t="inlineStr">
        <is>
          <t>First collector</t>
        </is>
      </c>
      <c r="E263" t="inlineStr">
        <is>
          <t>FIT/FIP</t>
        </is>
      </c>
      <c r="F263" t="inlineStr">
        <is>
          <t>GGLS1, GGLS4</t>
        </is>
      </c>
      <c r="G263" t="inlineStr">
        <is>
          <t>AR</t>
        </is>
      </c>
      <c r="H263" t="inlineStr">
        <is>
          <t>2024-06-12</t>
        </is>
      </c>
      <c r="I263" t="inlineStr">
        <is>
          <t>2029-06-11</t>
        </is>
      </c>
      <c r="J263" t="inlineStr">
        <is>
          <t>PT Carsurin Certiva International</t>
        </is>
      </c>
      <c r="K263" t="inlineStr">
        <is>
          <t>Valid</t>
        </is>
      </c>
    </row>
    <row r="264">
      <c r="A264" t="inlineStr">
        <is>
          <t>1882867326676631552</t>
        </is>
      </c>
      <c r="B264" t="inlineStr">
        <is>
          <t>PT Santomo Biomass Indonesia</t>
        </is>
      </c>
      <c r="C264" t="inlineStr">
        <is>
          <t>Indonesia</t>
        </is>
      </c>
      <c r="D264" t="inlineStr">
        <is>
          <t>Trader</t>
        </is>
      </c>
      <c r="E264" t="inlineStr">
        <is>
          <t>FIT/FIP</t>
        </is>
      </c>
      <c r="F264" t="inlineStr">
        <is>
          <t>GGLS1, GGLS4</t>
        </is>
      </c>
      <c r="G264" t="inlineStr">
        <is>
          <t>AR</t>
        </is>
      </c>
      <c r="H264" t="inlineStr">
        <is>
          <t>2024-12-05</t>
        </is>
      </c>
      <c r="I264" t="inlineStr">
        <is>
          <t>2029-12-04</t>
        </is>
      </c>
      <c r="J264" t="inlineStr">
        <is>
          <t>Control Union</t>
        </is>
      </c>
      <c r="K264" t="inlineStr">
        <is>
          <t>Valid</t>
        </is>
      </c>
    </row>
    <row r="265">
      <c r="A265" t="inlineStr">
        <is>
          <t>1883522478148419584</t>
        </is>
      </c>
      <c r="B265" t="inlineStr">
        <is>
          <t>PT Sararasa Biomass</t>
        </is>
      </c>
      <c r="C265" t="inlineStr">
        <is>
          <t>Indonesia</t>
        </is>
      </c>
      <c r="D265" t="inlineStr">
        <is>
          <t>First collector</t>
        </is>
      </c>
      <c r="E265" t="inlineStr">
        <is>
          <t>FIT/FIP</t>
        </is>
      </c>
      <c r="F265" t="inlineStr">
        <is>
          <t>GGLS1, GGLS4</t>
        </is>
      </c>
      <c r="G265" t="inlineStr">
        <is>
          <t>AR, Cat 5, WB</t>
        </is>
      </c>
      <c r="H265" t="inlineStr">
        <is>
          <t>2024-08-16</t>
        </is>
      </c>
      <c r="I265" t="inlineStr">
        <is>
          <t>2029-08-15</t>
        </is>
      </c>
      <c r="J265" t="inlineStr">
        <is>
          <t>Control Union</t>
        </is>
      </c>
      <c r="K265" t="inlineStr">
        <is>
          <t>Valid</t>
        </is>
      </c>
    </row>
    <row r="266">
      <c r="A266" t="inlineStr">
        <is>
          <t>1879782049682817024</t>
        </is>
      </c>
      <c r="B266" t="inlineStr">
        <is>
          <t>PT Sindora Seraya</t>
        </is>
      </c>
      <c r="C266" t="inlineStr">
        <is>
          <t>Indonesia</t>
        </is>
      </c>
      <c r="D266" t="inlineStr">
        <is>
          <t>First collector</t>
        </is>
      </c>
      <c r="E266" t="inlineStr">
        <is>
          <t>FIT/FIP</t>
        </is>
      </c>
      <c r="F266" t="inlineStr">
        <is>
          <t>GGLS1, GGLS4</t>
        </is>
      </c>
      <c r="G266" t="inlineStr">
        <is>
          <t>AR, Cat 5</t>
        </is>
      </c>
      <c r="H266" t="inlineStr">
        <is>
          <t>2024-03-14</t>
        </is>
      </c>
      <c r="I266" t="inlineStr">
        <is>
          <t>2029-03-13</t>
        </is>
      </c>
      <c r="J266" t="inlineStr">
        <is>
          <t>PT SBC Asia Sertifikasi</t>
        </is>
      </c>
      <c r="K266" t="inlineStr">
        <is>
          <t>Valid</t>
        </is>
      </c>
    </row>
    <row r="267">
      <c r="A267" t="inlineStr">
        <is>
          <t>1873651323132444672</t>
        </is>
      </c>
      <c r="B267" t="inlineStr">
        <is>
          <t>PT TIDAR KERINCI AGUNG</t>
        </is>
      </c>
      <c r="C267" t="inlineStr">
        <is>
          <t>Indonesia</t>
        </is>
      </c>
      <c r="D267" t="inlineStr">
        <is>
          <t>First collector</t>
        </is>
      </c>
      <c r="E267" t="inlineStr">
        <is>
          <t>FIT/FIP</t>
        </is>
      </c>
      <c r="F267" t="inlineStr">
        <is>
          <t>GGLS1, GGLS4</t>
        </is>
      </c>
      <c r="G267" t="inlineStr">
        <is>
          <t>AR</t>
        </is>
      </c>
      <c r="H267" t="inlineStr">
        <is>
          <t>2023-12-29</t>
        </is>
      </c>
      <c r="I267" t="inlineStr">
        <is>
          <t>2028-12-28</t>
        </is>
      </c>
      <c r="J267" t="inlineStr">
        <is>
          <t>PT Carsurin Certiva International</t>
        </is>
      </c>
      <c r="K267" t="inlineStr">
        <is>
          <t>Valid</t>
        </is>
      </c>
    </row>
    <row r="268">
      <c r="A268" t="inlineStr">
        <is>
          <t>2031299330903638016</t>
        </is>
      </c>
      <c r="B268" t="inlineStr">
        <is>
          <t>PT TINGANG BIOMASS BORNEO</t>
        </is>
      </c>
      <c r="C268" t="inlineStr">
        <is>
          <t>Indonesia</t>
        </is>
      </c>
      <c r="D268" t="inlineStr">
        <is>
          <t>First collector, Trader</t>
        </is>
      </c>
      <c r="E268" t="inlineStr">
        <is>
          <t>FIT/FIP</t>
        </is>
      </c>
      <c r="F268" t="inlineStr">
        <is>
          <t>GGLS1, GGLS4</t>
        </is>
      </c>
      <c r="G268" t="inlineStr">
        <is>
          <t>AR, Cat 4, Cat 5</t>
        </is>
      </c>
      <c r="H268" t="inlineStr">
        <is>
          <t>2026-02-20</t>
        </is>
      </c>
      <c r="I268" t="inlineStr">
        <is>
          <t>2031-02-19</t>
        </is>
      </c>
      <c r="J268" t="inlineStr">
        <is>
          <t>PT Global Relasitama Indonesia</t>
        </is>
      </c>
      <c r="K268" t="inlineStr">
        <is>
          <t>Valid</t>
        </is>
      </c>
    </row>
    <row r="269">
      <c r="A269" t="inlineStr">
        <is>
          <t>1873672747695996928</t>
        </is>
      </c>
      <c r="B269" t="inlineStr">
        <is>
          <t>PT TOTAL BIOFUEL INDONESIA</t>
        </is>
      </c>
      <c r="C269" t="inlineStr">
        <is>
          <t>Indonesia</t>
        </is>
      </c>
      <c r="D269" t="inlineStr">
        <is>
          <t>Trader</t>
        </is>
      </c>
      <c r="E269" t="inlineStr">
        <is>
          <t>FIT/FIP</t>
        </is>
      </c>
      <c r="F269" t="inlineStr">
        <is>
          <t>GGLS1, GGLS4</t>
        </is>
      </c>
      <c r="G269" t="inlineStr">
        <is>
          <t>AR, Cat 5</t>
        </is>
      </c>
      <c r="H269" t="inlineStr">
        <is>
          <t>2024-03-24</t>
        </is>
      </c>
      <c r="I269" t="inlineStr">
        <is>
          <t>2029-03-23</t>
        </is>
      </c>
      <c r="J269" t="inlineStr">
        <is>
          <t>PT SBC Asia Sertifikasi</t>
        </is>
      </c>
      <c r="K269" t="inlineStr">
        <is>
          <t>Valid</t>
        </is>
      </c>
    </row>
    <row r="270">
      <c r="A270" t="inlineStr">
        <is>
          <t>2020717450185670656</t>
        </is>
      </c>
      <c r="B270" t="inlineStr">
        <is>
          <t>PT The Sakura Green Indonesia</t>
        </is>
      </c>
      <c r="C270" t="inlineStr">
        <is>
          <t>Indonesia</t>
        </is>
      </c>
      <c r="D270" t="inlineStr">
        <is>
          <t>First collector, Trader</t>
        </is>
      </c>
      <c r="E270" t="inlineStr">
        <is>
          <t>FIT/FIP</t>
        </is>
      </c>
      <c r="F270" t="inlineStr">
        <is>
          <t>GGLS1, GGLS4</t>
        </is>
      </c>
      <c r="G270" t="inlineStr">
        <is>
          <t>AR, Cat 5</t>
        </is>
      </c>
      <c r="H270" t="inlineStr">
        <is>
          <t>2026-04-06</t>
        </is>
      </c>
      <c r="I270" t="inlineStr">
        <is>
          <t>2031-04-05</t>
        </is>
      </c>
      <c r="J270" t="inlineStr">
        <is>
          <t>PT PCU Indonesia</t>
        </is>
      </c>
      <c r="K270" t="inlineStr">
        <is>
          <t>Valid</t>
        </is>
      </c>
    </row>
    <row r="271">
      <c r="A271" t="inlineStr">
        <is>
          <t>2074140115973701632</t>
        </is>
      </c>
      <c r="B271" t="inlineStr">
        <is>
          <t>PT Top Pacific Mineral</t>
        </is>
      </c>
      <c r="C271" t="inlineStr">
        <is>
          <t>Indonesia</t>
        </is>
      </c>
      <c r="D271" t="inlineStr">
        <is>
          <t>First collector</t>
        </is>
      </c>
      <c r="E271" t="inlineStr">
        <is>
          <t>FIT/FIP</t>
        </is>
      </c>
      <c r="F271" t="inlineStr">
        <is>
          <t>GGLS1, GGLS4</t>
        </is>
      </c>
      <c r="G271" t="inlineStr">
        <is>
          <t>AR, Cat 5</t>
        </is>
      </c>
      <c r="H271" t="inlineStr">
        <is>
          <t>2026-06-06</t>
        </is>
      </c>
      <c r="I271" t="inlineStr">
        <is>
          <t>2031-06-05</t>
        </is>
      </c>
      <c r="J271" t="inlineStr">
        <is>
          <t>PT PCU Indonesia</t>
        </is>
      </c>
      <c r="K271" t="inlineStr">
        <is>
          <t>Valid</t>
        </is>
      </c>
    </row>
    <row r="272">
      <c r="A272" t="inlineStr">
        <is>
          <t>1873638839801610240</t>
        </is>
      </c>
      <c r="B272" t="inlineStr">
        <is>
          <t>PT Tri Palmindo Sejahtera</t>
        </is>
      </c>
      <c r="C272" t="inlineStr">
        <is>
          <t>Indonesia</t>
        </is>
      </c>
      <c r="D272" t="inlineStr">
        <is>
          <t>First collector</t>
        </is>
      </c>
      <c r="E272" t="inlineStr">
        <is>
          <t>FIT/FIP</t>
        </is>
      </c>
      <c r="F272" t="inlineStr">
        <is>
          <t>GGLS1, GGLS4</t>
        </is>
      </c>
      <c r="G272" t="inlineStr">
        <is>
          <t>AR, Cat 5</t>
        </is>
      </c>
      <c r="H272" t="inlineStr">
        <is>
          <t>2024-08-22</t>
        </is>
      </c>
      <c r="I272" t="inlineStr">
        <is>
          <t>2029-08-21</t>
        </is>
      </c>
      <c r="J272" t="inlineStr">
        <is>
          <t>PT Carsurin Certiva International</t>
        </is>
      </c>
      <c r="K272" t="inlineStr">
        <is>
          <t>Valid</t>
        </is>
      </c>
    </row>
    <row r="273">
      <c r="A273" t="inlineStr">
        <is>
          <t>1985231624819703808</t>
        </is>
      </c>
      <c r="B273" t="inlineStr">
        <is>
          <t>PT Triomas Forestry Development Indonesia</t>
        </is>
      </c>
      <c r="C273" t="inlineStr">
        <is>
          <t>Indonesia</t>
        </is>
      </c>
      <c r="D273" t="inlineStr">
        <is>
          <t>First collector</t>
        </is>
      </c>
      <c r="E273" t="inlineStr">
        <is>
          <t>FIT/FIP</t>
        </is>
      </c>
      <c r="F273" t="inlineStr">
        <is>
          <t>GGLS1, GGLS4</t>
        </is>
      </c>
      <c r="G273" t="inlineStr">
        <is>
          <t>AR</t>
        </is>
      </c>
      <c r="H273" t="inlineStr">
        <is>
          <t>2025-10-15</t>
        </is>
      </c>
      <c r="I273" t="inlineStr">
        <is>
          <t>2030-10-14</t>
        </is>
      </c>
      <c r="J273" t="inlineStr">
        <is>
          <t>PT SBC Asia Sertifikasi</t>
        </is>
      </c>
      <c r="K273" t="inlineStr">
        <is>
          <t>Valid</t>
        </is>
      </c>
    </row>
    <row r="274">
      <c r="A274" t="inlineStr">
        <is>
          <t>1873698790771261440</t>
        </is>
      </c>
      <c r="B274" t="inlineStr">
        <is>
          <t>PT WISESA HUTAMA MANDIRI</t>
        </is>
      </c>
      <c r="C274" t="inlineStr">
        <is>
          <t>Indonesia</t>
        </is>
      </c>
      <c r="D274" t="inlineStr">
        <is>
          <t>First collector</t>
        </is>
      </c>
      <c r="E274" t="inlineStr">
        <is>
          <t>FIT/FIP</t>
        </is>
      </c>
      <c r="F274" t="inlineStr">
        <is>
          <t>GGLS1, GGLS4</t>
        </is>
      </c>
      <c r="G274" t="inlineStr">
        <is>
          <t>AR</t>
        </is>
      </c>
      <c r="H274" t="inlineStr">
        <is>
          <t>2024-06-05</t>
        </is>
      </c>
      <c r="I274" t="inlineStr">
        <is>
          <t>2029-06-04</t>
        </is>
      </c>
      <c r="J274" t="inlineStr">
        <is>
          <t>PT Carsurin Certiva International</t>
        </is>
      </c>
      <c r="K274" t="inlineStr">
        <is>
          <t>Valid</t>
        </is>
      </c>
    </row>
    <row r="275">
      <c r="A275" t="inlineStr">
        <is>
          <t>2069356145499176960</t>
        </is>
      </c>
      <c r="B275" t="inlineStr">
        <is>
          <t>PT Yale Woodpellet Indonesia</t>
        </is>
      </c>
      <c r="C275" t="inlineStr">
        <is>
          <t>Indonesia</t>
        </is>
      </c>
      <c r="D275" t="inlineStr">
        <is>
          <t>First collector</t>
        </is>
      </c>
      <c r="E275" t="inlineStr">
        <is>
          <t>FIT/FIP</t>
        </is>
      </c>
      <c r="F275" t="inlineStr">
        <is>
          <t>GGLS1, GGLS4</t>
        </is>
      </c>
      <c r="G275" t="inlineStr">
        <is>
          <t>Cat 5, WB</t>
        </is>
      </c>
      <c r="H275" t="inlineStr">
        <is>
          <t>2026-05-06</t>
        </is>
      </c>
      <c r="I275" t="inlineStr">
        <is>
          <t>2031-05-05</t>
        </is>
      </c>
      <c r="J275" t="inlineStr">
        <is>
          <t>Control Union</t>
        </is>
      </c>
      <c r="K275" t="inlineStr">
        <is>
          <t>Valid</t>
        </is>
      </c>
    </row>
    <row r="276">
      <c r="A276" t="inlineStr">
        <is>
          <t>1882876361710764032</t>
        </is>
      </c>
      <c r="B276" t="inlineStr">
        <is>
          <t>PT ZAPIN AGRO INTERNASIONAL</t>
        </is>
      </c>
      <c r="C276" t="inlineStr">
        <is>
          <t>Indonesia</t>
        </is>
      </c>
      <c r="D276" t="inlineStr">
        <is>
          <t>First collector</t>
        </is>
      </c>
      <c r="E276" t="inlineStr">
        <is>
          <t>FIT/FIP</t>
        </is>
      </c>
      <c r="F276" t="inlineStr">
        <is>
          <t>GGLS1, GGLS4</t>
        </is>
      </c>
      <c r="G276" t="inlineStr">
        <is>
          <t>AR</t>
        </is>
      </c>
      <c r="H276" t="inlineStr">
        <is>
          <t>2024-09-07</t>
        </is>
      </c>
      <c r="I276" t="inlineStr">
        <is>
          <t>2029-09-06</t>
        </is>
      </c>
      <c r="J276" t="inlineStr">
        <is>
          <t>Control Union</t>
        </is>
      </c>
      <c r="K276" t="inlineStr">
        <is>
          <t>Valid</t>
        </is>
      </c>
    </row>
    <row r="277">
      <c r="A277" t="inlineStr">
        <is>
          <t>1879118419945586688</t>
        </is>
      </c>
      <c r="B277" t="inlineStr">
        <is>
          <t>PT. CND INTERNATIONAL TRADE INDONESIA</t>
        </is>
      </c>
      <c r="C277" t="inlineStr">
        <is>
          <t>Indonesia</t>
        </is>
      </c>
      <c r="D277" t="inlineStr">
        <is>
          <t>First collector, Trader</t>
        </is>
      </c>
      <c r="E277" t="inlineStr">
        <is>
          <t>FIT/FIP</t>
        </is>
      </c>
      <c r="F277" t="inlineStr">
        <is>
          <t>GGLS1, GGLS4</t>
        </is>
      </c>
      <c r="G277" t="inlineStr">
        <is>
          <t>AR, WB</t>
        </is>
      </c>
      <c r="H277" t="inlineStr">
        <is>
          <t>2024-11-07</t>
        </is>
      </c>
      <c r="I277" t="inlineStr">
        <is>
          <t>2029-11-06</t>
        </is>
      </c>
      <c r="J277" t="inlineStr">
        <is>
          <t>BM Certification</t>
        </is>
      </c>
      <c r="K277" t="inlineStr">
        <is>
          <t>Valid</t>
        </is>
      </c>
    </row>
    <row r="278">
      <c r="A278" t="inlineStr">
        <is>
          <t>1883829664250593280</t>
        </is>
      </c>
      <c r="B278" t="inlineStr">
        <is>
          <t>PT. ERASAKTI WIRAFORESTAMA</t>
        </is>
      </c>
      <c r="C278" t="inlineStr">
        <is>
          <t>Indonesia</t>
        </is>
      </c>
      <c r="D278" t="inlineStr">
        <is>
          <t>First collector</t>
        </is>
      </c>
      <c r="E278" t="inlineStr">
        <is>
          <t>FIT/FIP</t>
        </is>
      </c>
      <c r="F278" t="inlineStr">
        <is>
          <t>GGLS1, GGLS4</t>
        </is>
      </c>
      <c r="G278" t="inlineStr">
        <is>
          <t>AR, Cat 5</t>
        </is>
      </c>
      <c r="H278" t="inlineStr">
        <is>
          <t>2021-09-07</t>
        </is>
      </c>
      <c r="I278" t="inlineStr">
        <is>
          <t>2026-09-06</t>
        </is>
      </c>
      <c r="J278" t="inlineStr">
        <is>
          <t>PT PCU Indonesia</t>
        </is>
      </c>
      <c r="K278" t="inlineStr">
        <is>
          <t>Valid</t>
        </is>
      </c>
    </row>
    <row r="279">
      <c r="A279" t="inlineStr">
        <is>
          <t>1884190334359961600</t>
        </is>
      </c>
      <c r="B279" t="inlineStr">
        <is>
          <t>PT. Fortius Agro Asia</t>
        </is>
      </c>
      <c r="C279" t="inlineStr">
        <is>
          <t>Indonesia</t>
        </is>
      </c>
      <c r="D279" t="inlineStr">
        <is>
          <t>First collector</t>
        </is>
      </c>
      <c r="E279" t="inlineStr">
        <is>
          <t>FIT/FIP</t>
        </is>
      </c>
      <c r="F279" t="inlineStr">
        <is>
          <t>GGLS1, GGLS4</t>
        </is>
      </c>
      <c r="G279" t="inlineStr">
        <is>
          <t>AR</t>
        </is>
      </c>
      <c r="H279" t="inlineStr">
        <is>
          <t>2022-06-16</t>
        </is>
      </c>
      <c r="I279" t="inlineStr">
        <is>
          <t>2027-06-15</t>
        </is>
      </c>
      <c r="J279" t="inlineStr">
        <is>
          <t>Control Union</t>
        </is>
      </c>
      <c r="K279" t="inlineStr">
        <is>
          <t>Valid</t>
        </is>
      </c>
    </row>
    <row r="280">
      <c r="A280" t="inlineStr">
        <is>
          <t>1940987739218378752</t>
        </is>
      </c>
      <c r="B280" t="inlineStr">
        <is>
          <t>PT. Gawi Bahandep Sawit Mekar</t>
        </is>
      </c>
      <c r="C280" t="inlineStr">
        <is>
          <t>Indonesia</t>
        </is>
      </c>
      <c r="D280" t="inlineStr">
        <is>
          <t>First collector</t>
        </is>
      </c>
      <c r="E280" t="inlineStr">
        <is>
          <t>FIT/FIP</t>
        </is>
      </c>
      <c r="F280" t="inlineStr">
        <is>
          <t>GGLS1, GGLS4</t>
        </is>
      </c>
      <c r="G280" t="inlineStr">
        <is>
          <t>AR, Cat 5</t>
        </is>
      </c>
      <c r="H280" t="inlineStr">
        <is>
          <t>2025-06-29</t>
        </is>
      </c>
      <c r="I280" t="inlineStr">
        <is>
          <t>2030-06-28</t>
        </is>
      </c>
      <c r="J280" t="inlineStr">
        <is>
          <t>PT PCU Indonesia</t>
        </is>
      </c>
      <c r="K280" t="inlineStr">
        <is>
          <t>Valid</t>
        </is>
      </c>
    </row>
    <row r="281">
      <c r="A281" t="inlineStr">
        <is>
          <t>1883813429978857472</t>
        </is>
      </c>
      <c r="B281" t="inlineStr">
        <is>
          <t>PT. Golden Biomass Energy</t>
        </is>
      </c>
      <c r="C281" t="inlineStr">
        <is>
          <t>Indonesia</t>
        </is>
      </c>
      <c r="D281" t="inlineStr">
        <is>
          <t>First collector</t>
        </is>
      </c>
      <c r="E281" t="inlineStr">
        <is>
          <t>FIT/FIP</t>
        </is>
      </c>
      <c r="F281" t="inlineStr">
        <is>
          <t>GGLS1, GGLS4</t>
        </is>
      </c>
      <c r="G281" t="inlineStr">
        <is>
          <t>AR</t>
        </is>
      </c>
      <c r="H281" t="inlineStr">
        <is>
          <t>2023-06-12</t>
        </is>
      </c>
      <c r="I281" t="inlineStr">
        <is>
          <t>2028-06-11</t>
        </is>
      </c>
      <c r="J281" t="inlineStr">
        <is>
          <t>BM Certification</t>
        </is>
      </c>
      <c r="K281" t="inlineStr">
        <is>
          <t>Valid</t>
        </is>
      </c>
    </row>
    <row r="282">
      <c r="A282" t="inlineStr">
        <is>
          <t>1884152569626886144</t>
        </is>
      </c>
      <c r="B282" t="inlineStr">
        <is>
          <t>PT. Jakarta Eco Tunasniaga</t>
        </is>
      </c>
      <c r="C282" t="inlineStr">
        <is>
          <t>Indonesia</t>
        </is>
      </c>
      <c r="D282" t="inlineStr">
        <is>
          <t>First collector, Trader</t>
        </is>
      </c>
      <c r="E282" t="inlineStr">
        <is>
          <t>FIT/FIP</t>
        </is>
      </c>
      <c r="F282" t="inlineStr">
        <is>
          <t>GGLS1, GGLS4</t>
        </is>
      </c>
      <c r="G282" t="inlineStr">
        <is>
          <t>AR, Cat 5</t>
        </is>
      </c>
      <c r="H282" t="inlineStr">
        <is>
          <t>2022-11-15</t>
        </is>
      </c>
      <c r="I282" t="inlineStr">
        <is>
          <t>2027-11-14</t>
        </is>
      </c>
      <c r="J282" t="inlineStr">
        <is>
          <t>PT Carsurin Certiva International</t>
        </is>
      </c>
      <c r="K282" t="inlineStr">
        <is>
          <t>Valid</t>
        </is>
      </c>
    </row>
    <row r="283">
      <c r="A283" t="inlineStr">
        <is>
          <t>1884183653945180160</t>
        </is>
      </c>
      <c r="B283" t="inlineStr">
        <is>
          <t>PT. Kemilau Permata Sawit</t>
        </is>
      </c>
      <c r="C283" t="inlineStr">
        <is>
          <t>Indonesia</t>
        </is>
      </c>
      <c r="D283" t="inlineStr">
        <is>
          <t>First collector</t>
        </is>
      </c>
      <c r="E283" t="inlineStr">
        <is>
          <t>FIT/FIP</t>
        </is>
      </c>
      <c r="F283" t="inlineStr">
        <is>
          <t>GGLS1, GGLS4</t>
        </is>
      </c>
      <c r="G283" t="inlineStr">
        <is>
          <t>AR</t>
        </is>
      </c>
      <c r="H283" t="inlineStr">
        <is>
          <t>2022-03-31</t>
        </is>
      </c>
      <c r="I283" t="inlineStr">
        <is>
          <t>2027-03-30</t>
        </is>
      </c>
      <c r="J283" t="inlineStr">
        <is>
          <t>Control Union</t>
        </is>
      </c>
      <c r="K283" t="inlineStr">
        <is>
          <t>Valid</t>
        </is>
      </c>
    </row>
    <row r="284">
      <c r="A284" t="inlineStr">
        <is>
          <t>1972575301380603904</t>
        </is>
      </c>
      <c r="B284" t="inlineStr">
        <is>
          <t>PT. Makmur Trading Sejahtera</t>
        </is>
      </c>
      <c r="C284" t="inlineStr">
        <is>
          <t>Indonesia</t>
        </is>
      </c>
      <c r="D284" t="inlineStr">
        <is>
          <t>First collector</t>
        </is>
      </c>
      <c r="E284" t="inlineStr">
        <is>
          <t>FIT/FIP</t>
        </is>
      </c>
      <c r="F284" t="inlineStr">
        <is>
          <t>GGLS1, GGLS4</t>
        </is>
      </c>
      <c r="G284" t="inlineStr">
        <is>
          <t>AR</t>
        </is>
      </c>
      <c r="H284" t="inlineStr">
        <is>
          <t>2025-09-16</t>
        </is>
      </c>
      <c r="I284" t="inlineStr">
        <is>
          <t>2030-09-15</t>
        </is>
      </c>
      <c r="J284" t="inlineStr">
        <is>
          <t>DoubleHelix</t>
        </is>
      </c>
      <c r="K284" t="inlineStr">
        <is>
          <t>Valid</t>
        </is>
      </c>
    </row>
    <row r="285">
      <c r="A285" t="inlineStr">
        <is>
          <t>2062382150442811392</t>
        </is>
      </c>
      <c r="B285" t="inlineStr">
        <is>
          <t>PT. SINAR ARTHA KARUNIA</t>
        </is>
      </c>
      <c r="C285" t="inlineStr">
        <is>
          <t>Indonesia</t>
        </is>
      </c>
      <c r="D285" t="inlineStr">
        <is>
          <t>First collector</t>
        </is>
      </c>
      <c r="E285" t="inlineStr">
        <is>
          <t>FIT/FIP</t>
        </is>
      </c>
      <c r="F285" t="inlineStr">
        <is>
          <t>GGLS1, GGLS4</t>
        </is>
      </c>
      <c r="G285" t="inlineStr">
        <is>
          <t>AR, Cat 5</t>
        </is>
      </c>
      <c r="H285" t="inlineStr">
        <is>
          <t>2026-04-21</t>
        </is>
      </c>
      <c r="I285" t="inlineStr">
        <is>
          <t>2031-04-20</t>
        </is>
      </c>
      <c r="J285" t="inlineStr">
        <is>
          <t>PT Carsurin Certiva International</t>
        </is>
      </c>
      <c r="K285" t="inlineStr">
        <is>
          <t>Valid</t>
        </is>
      </c>
    </row>
    <row r="286">
      <c r="A286" t="inlineStr">
        <is>
          <t>1909468225029013504</t>
        </is>
      </c>
      <c r="B286" t="inlineStr">
        <is>
          <t>PT. SUMATRA LINTAS ASIA</t>
        </is>
      </c>
      <c r="C286" t="inlineStr">
        <is>
          <t>Indonesia</t>
        </is>
      </c>
      <c r="D286" t="inlineStr">
        <is>
          <t>First collector</t>
        </is>
      </c>
      <c r="E286" t="inlineStr">
        <is>
          <t>FIT/FIP</t>
        </is>
      </c>
      <c r="F286" t="inlineStr">
        <is>
          <t>GGLS1, GGLS4</t>
        </is>
      </c>
      <c r="G286" t="inlineStr">
        <is>
          <t>AR</t>
        </is>
      </c>
      <c r="H286" t="inlineStr">
        <is>
          <t>2023-12-29</t>
        </is>
      </c>
      <c r="I286" t="inlineStr">
        <is>
          <t>2028-12-28</t>
        </is>
      </c>
      <c r="J286" t="inlineStr">
        <is>
          <t>PT Carsurin Certiva International</t>
        </is>
      </c>
      <c r="K286" t="inlineStr">
        <is>
          <t>Valid</t>
        </is>
      </c>
    </row>
    <row r="287">
      <c r="A287" t="inlineStr">
        <is>
          <t>1884128709854625792</t>
        </is>
      </c>
      <c r="B287" t="inlineStr">
        <is>
          <t>PT. Sinergi Kharisma Yuda</t>
        </is>
      </c>
      <c r="C287" t="inlineStr">
        <is>
          <t>Indonesia</t>
        </is>
      </c>
      <c r="D287" t="inlineStr">
        <is>
          <t>First collector, Trader</t>
        </is>
      </c>
      <c r="E287" t="inlineStr">
        <is>
          <t>FIT/FIP</t>
        </is>
      </c>
      <c r="F287" t="inlineStr">
        <is>
          <t>GGLS1, GGLS4</t>
        </is>
      </c>
      <c r="G287" t="inlineStr">
        <is>
          <t>AR, Cat 5</t>
        </is>
      </c>
      <c r="H287" t="inlineStr">
        <is>
          <t>2023-06-04</t>
        </is>
      </c>
      <c r="I287" t="inlineStr">
        <is>
          <t>2028-06-03</t>
        </is>
      </c>
      <c r="J287" t="inlineStr">
        <is>
          <t>PT PCU Indonesia</t>
        </is>
      </c>
      <c r="K287" t="inlineStr">
        <is>
          <t>Valid</t>
        </is>
      </c>
    </row>
    <row r="288">
      <c r="A288" t="inlineStr">
        <is>
          <t>1983450935141072896</t>
        </is>
      </c>
      <c r="B288" t="inlineStr">
        <is>
          <t>PT. Sumber Graha Sejahtera</t>
        </is>
      </c>
      <c r="C288" t="inlineStr">
        <is>
          <t>Indonesia</t>
        </is>
      </c>
      <c r="D288" t="inlineStr">
        <is>
          <t>Biomass producer</t>
        </is>
      </c>
      <c r="E288" t="inlineStr">
        <is>
          <t>FIT/FIP</t>
        </is>
      </c>
      <c r="F288" t="inlineStr">
        <is>
          <t>GGLS1, GGLS4</t>
        </is>
      </c>
      <c r="G288" t="inlineStr">
        <is>
          <t>WB</t>
        </is>
      </c>
      <c r="H288" t="inlineStr">
        <is>
          <t>2025-11-10</t>
        </is>
      </c>
      <c r="I288" t="inlineStr">
        <is>
          <t>2030-11-09</t>
        </is>
      </c>
      <c r="J288" t="inlineStr">
        <is>
          <t>DoubleHelix</t>
        </is>
      </c>
      <c r="K288" t="inlineStr">
        <is>
          <t>Valid</t>
        </is>
      </c>
    </row>
    <row r="289">
      <c r="A289" t="inlineStr">
        <is>
          <t>1990693924112433152</t>
        </is>
      </c>
      <c r="B289" t="inlineStr">
        <is>
          <t>Phu Ninh Green Energy Joint Stock Company</t>
        </is>
      </c>
      <c r="C289" t="inlineStr">
        <is>
          <t>Vietnam</t>
        </is>
      </c>
      <c r="D289" t="inlineStr">
        <is>
          <t>Biomass producer, Trader</t>
        </is>
      </c>
      <c r="E289" t="inlineStr">
        <is>
          <t>FIT/FIP</t>
        </is>
      </c>
      <c r="F289" t="inlineStr">
        <is>
          <t>GGLS1, GGLS4</t>
        </is>
      </c>
      <c r="G289" t="inlineStr">
        <is>
          <t>WB</t>
        </is>
      </c>
      <c r="H289" t="inlineStr">
        <is>
          <t>2025-11-18</t>
        </is>
      </c>
      <c r="I289" t="inlineStr">
        <is>
          <t>2030-11-17</t>
        </is>
      </c>
      <c r="J289" t="inlineStr">
        <is>
          <t>PT Intertek Utama Services</t>
        </is>
      </c>
      <c r="K289" t="inlineStr">
        <is>
          <t>Valid</t>
        </is>
      </c>
    </row>
    <row r="290">
      <c r="A290" t="inlineStr">
        <is>
          <t>1883168009388818432</t>
        </is>
      </c>
      <c r="B290" t="inlineStr">
        <is>
          <t>Pinewells SA</t>
        </is>
      </c>
      <c r="C290" t="inlineStr">
        <is>
          <t>Portugal</t>
        </is>
      </c>
      <c r="D290" t="inlineStr">
        <is>
          <t>Biomass producer</t>
        </is>
      </c>
      <c r="E290" t="inlineStr">
        <is>
          <t>SDE++</t>
        </is>
      </c>
      <c r="F290" t="inlineStr">
        <is>
          <t>GGLS1, GGLS4</t>
        </is>
      </c>
      <c r="G290" t="inlineStr">
        <is>
          <t>Cat 5</t>
        </is>
      </c>
      <c r="H290" t="inlineStr">
        <is>
          <t>2023-12-19</t>
        </is>
      </c>
      <c r="I290" t="inlineStr">
        <is>
          <t>2028-12-18</t>
        </is>
      </c>
      <c r="J290" t="inlineStr">
        <is>
          <t>Control Union</t>
        </is>
      </c>
      <c r="K290" t="inlineStr">
        <is>
          <t>Valid</t>
        </is>
      </c>
    </row>
    <row r="291">
      <c r="A291" t="inlineStr">
        <is>
          <t>1883165211859353600</t>
        </is>
      </c>
      <c r="B291" t="inlineStr">
        <is>
          <t>Premium Pellet Ltd</t>
        </is>
      </c>
      <c r="C291" t="inlineStr">
        <is>
          <t>Canada</t>
        </is>
      </c>
      <c r="D291" t="inlineStr">
        <is>
          <t>Biomass producer</t>
        </is>
      </c>
      <c r="E291" t="inlineStr">
        <is>
          <t>SDE++</t>
        </is>
      </c>
      <c r="F291" t="inlineStr">
        <is>
          <t>GGLS1, GGLS4</t>
        </is>
      </c>
      <c r="G291" t="inlineStr">
        <is>
          <t>Cat 5</t>
        </is>
      </c>
      <c r="H291" t="inlineStr">
        <is>
          <t>2023-12-30</t>
        </is>
      </c>
      <c r="I291" t="inlineStr">
        <is>
          <t>2028-12-29</t>
        </is>
      </c>
      <c r="J291" t="inlineStr">
        <is>
          <t>Control Union</t>
        </is>
      </c>
      <c r="K291" t="inlineStr">
        <is>
          <t>Valid</t>
        </is>
      </c>
    </row>
    <row r="292">
      <c r="A292" t="inlineStr">
        <is>
          <t>1883812304638705664</t>
        </is>
      </c>
      <c r="B292" t="inlineStr">
        <is>
          <t>Provident Biofuels Pte Ltd</t>
        </is>
      </c>
      <c r="C292" t="inlineStr">
        <is>
          <t>Singapore</t>
        </is>
      </c>
      <c r="D292" t="inlineStr">
        <is>
          <t>Trader</t>
        </is>
      </c>
      <c r="E292" t="inlineStr">
        <is>
          <t>FIT/FIP</t>
        </is>
      </c>
      <c r="F292" t="inlineStr">
        <is>
          <t>GGLS1, GGLS4</t>
        </is>
      </c>
      <c r="G292" t="inlineStr">
        <is>
          <t>AR, Cat 5, WB</t>
        </is>
      </c>
      <c r="H292" t="inlineStr">
        <is>
          <t>2026-07-08</t>
        </is>
      </c>
      <c r="I292" t="inlineStr">
        <is>
          <t>2031-07-07</t>
        </is>
      </c>
      <c r="J292" t="inlineStr">
        <is>
          <t>Control Union</t>
        </is>
      </c>
      <c r="K292" t="inlineStr">
        <is>
          <t>Valid</t>
        </is>
      </c>
    </row>
    <row r="293">
      <c r="A293" t="inlineStr">
        <is>
          <t>1883812304638705664</t>
        </is>
      </c>
      <c r="B293" t="inlineStr">
        <is>
          <t>Provident Biofuels Pte Ltd</t>
        </is>
      </c>
      <c r="C293" t="inlineStr">
        <is>
          <t>Singapore</t>
        </is>
      </c>
      <c r="D293" t="inlineStr">
        <is>
          <t>Trader</t>
        </is>
      </c>
      <c r="E293" t="inlineStr">
        <is>
          <t>FIT/FIP</t>
        </is>
      </c>
      <c r="F293" t="inlineStr">
        <is>
          <t>GGLS1, GGLS4</t>
        </is>
      </c>
      <c r="G293" t="inlineStr">
        <is>
          <t>AR</t>
        </is>
      </c>
      <c r="H293" t="inlineStr">
        <is>
          <t>2021-07-09</t>
        </is>
      </c>
      <c r="I293" t="inlineStr">
        <is>
          <t>2026-07-08</t>
        </is>
      </c>
      <c r="J293" t="inlineStr">
        <is>
          <t>Control Union</t>
        </is>
      </c>
      <c r="K293" t="inlineStr">
        <is>
          <t>Expired</t>
        </is>
      </c>
    </row>
    <row r="294">
      <c r="A294" t="inlineStr">
        <is>
          <t>1884517646813102080</t>
        </is>
      </c>
      <c r="B294" t="inlineStr">
        <is>
          <t>RAINBOW PELLET SDN BHD</t>
        </is>
      </c>
      <c r="C294" t="inlineStr">
        <is>
          <t>Malaysia</t>
        </is>
      </c>
      <c r="D294" t="inlineStr">
        <is>
          <t>Biomass producer, First collector</t>
        </is>
      </c>
      <c r="E294" t="inlineStr">
        <is>
          <t>SDE++</t>
        </is>
      </c>
      <c r="F294" t="inlineStr">
        <is>
          <t>GGLS1, GGLS4</t>
        </is>
      </c>
      <c r="G294" t="inlineStr">
        <is>
          <t>AR, Cat 5, WB</t>
        </is>
      </c>
      <c r="H294" t="inlineStr">
        <is>
          <t>2022-04-22</t>
        </is>
      </c>
      <c r="I294" t="inlineStr">
        <is>
          <t>2027-04-21</t>
        </is>
      </c>
      <c r="J294" t="inlineStr">
        <is>
          <t>Control Union</t>
        </is>
      </c>
      <c r="K294" t="inlineStr">
        <is>
          <t>Valid</t>
        </is>
      </c>
    </row>
    <row r="295">
      <c r="A295" t="inlineStr">
        <is>
          <t>1883523561050603520</t>
        </is>
      </c>
      <c r="B295" t="inlineStr">
        <is>
          <t>RAMPAI MUTU SDN BHD</t>
        </is>
      </c>
      <c r="C295" t="inlineStr">
        <is>
          <t>Malaysia</t>
        </is>
      </c>
      <c r="D295" t="inlineStr">
        <is>
          <t>First collector</t>
        </is>
      </c>
      <c r="E295" t="inlineStr">
        <is>
          <t>FIT/FIP</t>
        </is>
      </c>
      <c r="F295" t="inlineStr">
        <is>
          <t>GGLS1, GGLS4</t>
        </is>
      </c>
      <c r="G295" t="inlineStr">
        <is>
          <t>AR</t>
        </is>
      </c>
      <c r="H295" t="inlineStr">
        <is>
          <t>2024-08-14</t>
        </is>
      </c>
      <c r="I295" t="inlineStr">
        <is>
          <t>2029-08-13</t>
        </is>
      </c>
      <c r="J295" t="inlineStr">
        <is>
          <t>Control Union</t>
        </is>
      </c>
      <c r="K295" t="inlineStr">
        <is>
          <t>Valid</t>
        </is>
      </c>
    </row>
    <row r="296">
      <c r="A296" t="inlineStr">
        <is>
          <t>1883537359052472320</t>
        </is>
      </c>
      <c r="B296" t="inlineStr">
        <is>
          <t>RENER RESOURCES SDN BHD</t>
        </is>
      </c>
      <c r="C296" t="inlineStr">
        <is>
          <t>Malaysia</t>
        </is>
      </c>
      <c r="D296" t="inlineStr">
        <is>
          <t>First collector</t>
        </is>
      </c>
      <c r="E296" t="inlineStr">
        <is>
          <t>FIT/FIP</t>
        </is>
      </c>
      <c r="F296" t="inlineStr">
        <is>
          <t>GGLS1, GGLS4</t>
        </is>
      </c>
      <c r="G296" t="inlineStr">
        <is>
          <t>AR</t>
        </is>
      </c>
      <c r="H296" t="inlineStr">
        <is>
          <t>2024-06-14</t>
        </is>
      </c>
      <c r="I296" t="inlineStr">
        <is>
          <t>2029-06-13</t>
        </is>
      </c>
      <c r="J296" t="inlineStr">
        <is>
          <t>Control Union</t>
        </is>
      </c>
      <c r="K296" t="inlineStr">
        <is>
          <t>Valid</t>
        </is>
      </c>
    </row>
    <row r="297">
      <c r="A297" t="inlineStr">
        <is>
          <t>1883533814433579008</t>
        </is>
      </c>
      <c r="B297" t="inlineStr">
        <is>
          <t>RENOVA,INC.</t>
        </is>
      </c>
      <c r="C297" t="inlineStr">
        <is>
          <t>Japan</t>
        </is>
      </c>
      <c r="D297" t="inlineStr">
        <is>
          <t>Trader</t>
        </is>
      </c>
      <c r="E297" t="inlineStr">
        <is>
          <t>FIT/FIP</t>
        </is>
      </c>
      <c r="F297" t="inlineStr">
        <is>
          <t>GGLS1, GGLS4</t>
        </is>
      </c>
      <c r="G297" t="inlineStr">
        <is>
          <t>AR</t>
        </is>
      </c>
      <c r="H297" t="inlineStr">
        <is>
          <t>2024-07-05</t>
        </is>
      </c>
      <c r="I297" t="inlineStr">
        <is>
          <t>2029-07-04</t>
        </is>
      </c>
      <c r="J297" t="inlineStr">
        <is>
          <t>Control Union</t>
        </is>
      </c>
      <c r="K297" t="inlineStr">
        <is>
          <t>Valid</t>
        </is>
      </c>
    </row>
    <row r="298">
      <c r="A298" t="inlineStr">
        <is>
          <t>1882876716204949504</t>
        </is>
      </c>
      <c r="B298" t="inlineStr">
        <is>
          <t>RWE Eemshaven Holding II B.V.</t>
        </is>
      </c>
      <c r="C298" t="inlineStr">
        <is>
          <t>Netherlands</t>
        </is>
      </c>
      <c r="D298" t="inlineStr">
        <is>
          <t>Power company</t>
        </is>
      </c>
      <c r="E298" t="inlineStr">
        <is>
          <t>SDE++</t>
        </is>
      </c>
      <c r="F298" t="inlineStr">
        <is>
          <t>GGLS1, GGLS4, GGLS6</t>
        </is>
      </c>
      <c r="G298" t="inlineStr">
        <is>
          <t>Cat 5</t>
        </is>
      </c>
      <c r="H298" t="inlineStr">
        <is>
          <t>2024-10-04</t>
        </is>
      </c>
      <c r="I298" t="inlineStr">
        <is>
          <t>2029-10-03</t>
        </is>
      </c>
      <c r="J298" t="inlineStr">
        <is>
          <t>Control Union</t>
        </is>
      </c>
      <c r="K298" t="inlineStr">
        <is>
          <t>Valid</t>
        </is>
      </c>
    </row>
    <row r="299">
      <c r="A299" t="inlineStr">
        <is>
          <t>1925125132871794688</t>
        </is>
      </c>
      <c r="B299" t="inlineStr">
        <is>
          <t>RWE Generation NL B.V.</t>
        </is>
      </c>
      <c r="C299" t="inlineStr">
        <is>
          <t>Netherlands</t>
        </is>
      </c>
      <c r="D299" t="inlineStr">
        <is>
          <t>Power company</t>
        </is>
      </c>
      <c r="E299" t="inlineStr">
        <is>
          <t>SDE++</t>
        </is>
      </c>
      <c r="F299" t="inlineStr">
        <is>
          <t>GGLS1, GGLS4</t>
        </is>
      </c>
      <c r="G299" t="inlineStr">
        <is>
          <t>Cat 5</t>
        </is>
      </c>
      <c r="H299" t="inlineStr">
        <is>
          <t>2024-08-19</t>
        </is>
      </c>
      <c r="I299" t="inlineStr">
        <is>
          <t>2029-08-18</t>
        </is>
      </c>
      <c r="J299" t="inlineStr">
        <is>
          <t>Control Union</t>
        </is>
      </c>
      <c r="K299" t="inlineStr">
        <is>
          <t>Valid</t>
        </is>
      </c>
    </row>
    <row r="300">
      <c r="A300" t="inlineStr">
        <is>
          <t>1884130555574878208</t>
        </is>
      </c>
      <c r="B300" t="inlineStr">
        <is>
          <t>RWE Supply &amp; Trading GmbH</t>
        </is>
      </c>
      <c r="C300" t="inlineStr">
        <is>
          <t>United Kingdom</t>
        </is>
      </c>
      <c r="D300" t="inlineStr">
        <is>
          <t>Trader</t>
        </is>
      </c>
      <c r="E300" t="inlineStr">
        <is>
          <t>SDE++</t>
        </is>
      </c>
      <c r="F300" t="inlineStr">
        <is>
          <t>GGLS1, GGLS4</t>
        </is>
      </c>
      <c r="G300" t="inlineStr">
        <is>
          <t>Cat 5</t>
        </is>
      </c>
      <c r="H300" t="inlineStr">
        <is>
          <t>2023-05-26</t>
        </is>
      </c>
      <c r="I300" t="inlineStr">
        <is>
          <t>2028-05-25</t>
        </is>
      </c>
      <c r="J300" t="inlineStr">
        <is>
          <t>Control Union</t>
        </is>
      </c>
      <c r="K300" t="inlineStr">
        <is>
          <t>Valid</t>
        </is>
      </c>
    </row>
    <row r="301">
      <c r="A301" t="inlineStr">
        <is>
          <t>2033420148316045312</t>
        </is>
      </c>
      <c r="B301" t="inlineStr">
        <is>
          <t>Rashmi 6 Paradigm Limited</t>
        </is>
      </c>
      <c r="C301" t="inlineStr">
        <is>
          <t>India</t>
        </is>
      </c>
      <c r="D301" t="inlineStr">
        <is>
          <t>Biomass producer, First collector</t>
        </is>
      </c>
      <c r="E301" t="inlineStr">
        <is>
          <t>FIT/FIP</t>
        </is>
      </c>
      <c r="F301" t="inlineStr">
        <is>
          <t>GGLS1, GGLS4</t>
        </is>
      </c>
      <c r="G301" t="inlineStr">
        <is>
          <t>Cat 5, WB</t>
        </is>
      </c>
      <c r="H301" t="inlineStr">
        <is>
          <t>2026-04-02</t>
        </is>
      </c>
      <c r="I301" t="inlineStr">
        <is>
          <t>2031-04-01</t>
        </is>
      </c>
      <c r="J301" t="inlineStr">
        <is>
          <t>Trans Certification &amp; Inspection SDN. BHD.</t>
        </is>
      </c>
      <c r="K301" t="inlineStr">
        <is>
          <t>Valid</t>
        </is>
      </c>
    </row>
    <row r="302">
      <c r="A302" t="inlineStr">
        <is>
          <t>1882869679874113536</t>
        </is>
      </c>
      <c r="B302" t="inlineStr">
        <is>
          <t>SABAH SOFTWOODS BERHAD</t>
        </is>
      </c>
      <c r="C302" t="inlineStr">
        <is>
          <t>Malaysia</t>
        </is>
      </c>
      <c r="D302" t="inlineStr">
        <is>
          <t>First collector</t>
        </is>
      </c>
      <c r="E302" t="inlineStr">
        <is>
          <t>FIT/FIP</t>
        </is>
      </c>
      <c r="F302" t="inlineStr">
        <is>
          <t>GGLS1, GGLS4</t>
        </is>
      </c>
      <c r="G302" t="inlineStr">
        <is>
          <t>AR</t>
        </is>
      </c>
      <c r="H302" t="inlineStr">
        <is>
          <t>2024-10-30</t>
        </is>
      </c>
      <c r="I302" t="inlineStr">
        <is>
          <t>2029-10-29</t>
        </is>
      </c>
      <c r="J302" t="inlineStr">
        <is>
          <t>Control Union</t>
        </is>
      </c>
      <c r="K302" t="inlineStr">
        <is>
          <t>Valid</t>
        </is>
      </c>
    </row>
    <row r="303">
      <c r="A303" t="inlineStr">
        <is>
          <t>1883139714521759744</t>
        </is>
      </c>
      <c r="B303" t="inlineStr">
        <is>
          <t>SAKAIMINATO ENERGY POWER Limited Liability Company</t>
        </is>
      </c>
      <c r="C303" t="inlineStr">
        <is>
          <t>Japan</t>
        </is>
      </c>
      <c r="D303" t="inlineStr">
        <is>
          <t>Power company</t>
        </is>
      </c>
      <c r="E303" t="inlineStr">
        <is>
          <t>FIT/FIP</t>
        </is>
      </c>
      <c r="F303" t="inlineStr">
        <is>
          <t>GGLS1, GGLS4, GGLS6</t>
        </is>
      </c>
      <c r="G303" t="inlineStr">
        <is>
          <t>AR</t>
        </is>
      </c>
      <c r="H303" t="inlineStr">
        <is>
          <t>2024-02-08</t>
        </is>
      </c>
      <c r="I303" t="inlineStr">
        <is>
          <t>2029-02-07</t>
        </is>
      </c>
      <c r="J303" t="inlineStr">
        <is>
          <t>Control Union</t>
        </is>
      </c>
      <c r="K303" t="inlineStr">
        <is>
          <t>Valid</t>
        </is>
      </c>
    </row>
    <row r="304">
      <c r="A304" t="inlineStr">
        <is>
          <t>1925440312746967040</t>
        </is>
      </c>
      <c r="B304" t="inlineStr">
        <is>
          <t>SALA e POWER Co.,Ltd.</t>
        </is>
      </c>
      <c r="C304" t="inlineStr">
        <is>
          <t>Japan</t>
        </is>
      </c>
      <c r="D304" t="inlineStr">
        <is>
          <t>Power company</t>
        </is>
      </c>
      <c r="E304" t="inlineStr">
        <is>
          <t>FIT/FIP</t>
        </is>
      </c>
      <c r="F304" t="inlineStr">
        <is>
          <t>GGLS1, GGLS4, GGLS6</t>
        </is>
      </c>
      <c r="G304" t="inlineStr">
        <is>
          <t>AR, WB</t>
        </is>
      </c>
      <c r="H304" t="inlineStr">
        <is>
          <t>2025-07-11</t>
        </is>
      </c>
      <c r="I304" t="inlineStr">
        <is>
          <t>2030-07-10</t>
        </is>
      </c>
      <c r="J304" t="inlineStr">
        <is>
          <t>Control Union</t>
        </is>
      </c>
      <c r="K304" t="inlineStr">
        <is>
          <t>Valid</t>
        </is>
      </c>
    </row>
    <row r="305">
      <c r="A305" t="inlineStr">
        <is>
          <t>1939586628716593152</t>
        </is>
      </c>
      <c r="B305" t="inlineStr">
        <is>
          <t>SALT KANSAI CO.,LTD.</t>
        </is>
      </c>
      <c r="C305" t="inlineStr">
        <is>
          <t>Japan</t>
        </is>
      </c>
      <c r="D305" t="inlineStr">
        <is>
          <t>Trader</t>
        </is>
      </c>
      <c r="E305" t="inlineStr">
        <is>
          <t>FIT/FIP</t>
        </is>
      </c>
      <c r="F305" t="inlineStr">
        <is>
          <t>GGLS1, GGLS4</t>
        </is>
      </c>
      <c r="G305" t="inlineStr">
        <is>
          <t>AR, WB</t>
        </is>
      </c>
      <c r="H305" t="inlineStr">
        <is>
          <t>2025-06-23</t>
        </is>
      </c>
      <c r="I305" t="inlineStr">
        <is>
          <t>2030-06-22</t>
        </is>
      </c>
      <c r="J305" t="inlineStr">
        <is>
          <t>Control Union</t>
        </is>
      </c>
      <c r="K305" t="inlineStr">
        <is>
          <t>Valid</t>
        </is>
      </c>
    </row>
    <row r="306">
      <c r="A306" t="inlineStr">
        <is>
          <t>1873698040334778368</t>
        </is>
      </c>
      <c r="B306" t="inlineStr">
        <is>
          <t>SAMPADI TIMBER CO. SDN. BHD</t>
        </is>
      </c>
      <c r="C306" t="inlineStr">
        <is>
          <t>Malaysia</t>
        </is>
      </c>
      <c r="D306" t="inlineStr">
        <is>
          <t>First collector</t>
        </is>
      </c>
      <c r="E306" t="inlineStr">
        <is>
          <t>FIT/FIP</t>
        </is>
      </c>
      <c r="F306" t="inlineStr">
        <is>
          <t>GGLS1, GGLS4</t>
        </is>
      </c>
      <c r="G306" t="inlineStr">
        <is>
          <t>AR</t>
        </is>
      </c>
      <c r="H306" t="inlineStr">
        <is>
          <t>2024-07-24</t>
        </is>
      </c>
      <c r="I306" t="inlineStr">
        <is>
          <t>2029-07-23</t>
        </is>
      </c>
      <c r="J306" t="inlineStr">
        <is>
          <t>PT Carsurin Certiva International</t>
        </is>
      </c>
      <c r="K306" t="inlineStr">
        <is>
          <t>Valid</t>
        </is>
      </c>
    </row>
    <row r="307">
      <c r="A307" t="inlineStr">
        <is>
          <t>1884163942167609344</t>
        </is>
      </c>
      <c r="B307" t="inlineStr">
        <is>
          <t>SAMSUNG C&amp;T JAPAN CORPORATION</t>
        </is>
      </c>
      <c r="C307" t="inlineStr">
        <is>
          <t>Japan</t>
        </is>
      </c>
      <c r="D307" t="inlineStr">
        <is>
          <t>Trader</t>
        </is>
      </c>
      <c r="E307" t="inlineStr">
        <is>
          <t>FIT/FIP</t>
        </is>
      </c>
      <c r="F307" t="inlineStr">
        <is>
          <t>GGLS1, GGLS4</t>
        </is>
      </c>
      <c r="G307" t="inlineStr">
        <is>
          <t>AR</t>
        </is>
      </c>
      <c r="H307" t="inlineStr">
        <is>
          <t>2022-10-14</t>
        </is>
      </c>
      <c r="I307" t="inlineStr">
        <is>
          <t>2027-10-13</t>
        </is>
      </c>
      <c r="J307" t="inlineStr">
        <is>
          <t>Control Union</t>
        </is>
      </c>
      <c r="K307" t="inlineStr">
        <is>
          <t>Valid</t>
        </is>
      </c>
    </row>
    <row r="308">
      <c r="A308" t="inlineStr">
        <is>
          <t>1883146058733715456</t>
        </is>
      </c>
      <c r="B308" t="inlineStr">
        <is>
          <t>SANYU ECO RESOURCES</t>
        </is>
      </c>
      <c r="C308" t="inlineStr">
        <is>
          <t>Malaysia</t>
        </is>
      </c>
      <c r="D308" t="inlineStr">
        <is>
          <t>First collector, Trader</t>
        </is>
      </c>
      <c r="E308" t="inlineStr">
        <is>
          <t>FIT/FIP</t>
        </is>
      </c>
      <c r="F308" t="inlineStr">
        <is>
          <t>GGLS1, GGLS4</t>
        </is>
      </c>
      <c r="G308" t="inlineStr">
        <is>
          <t>AR, Cat 5</t>
        </is>
      </c>
      <c r="H308" t="inlineStr">
        <is>
          <t>2024-01-31</t>
        </is>
      </c>
      <c r="I308" t="inlineStr">
        <is>
          <t>2029-01-30</t>
        </is>
      </c>
      <c r="J308" t="inlineStr">
        <is>
          <t>Control Union</t>
        </is>
      </c>
      <c r="K308" t="inlineStr">
        <is>
          <t>Valid</t>
        </is>
      </c>
    </row>
    <row r="309">
      <c r="A309" t="inlineStr">
        <is>
          <t>1942129331069255680</t>
        </is>
      </c>
      <c r="B309" t="inlineStr">
        <is>
          <t>SARA Inc.</t>
        </is>
      </c>
      <c r="C309" t="inlineStr">
        <is>
          <t>Japan</t>
        </is>
      </c>
      <c r="D309" t="inlineStr">
        <is>
          <t>Power company</t>
        </is>
      </c>
      <c r="E309" t="inlineStr">
        <is>
          <t>FIT/FIP</t>
        </is>
      </c>
      <c r="F309" t="inlineStr">
        <is>
          <t>GGLS1, GGLS4, GGLS6</t>
        </is>
      </c>
      <c r="G309" t="inlineStr">
        <is>
          <t>AR, WB</t>
        </is>
      </c>
      <c r="H309" t="inlineStr">
        <is>
          <t>2026-03-23</t>
        </is>
      </c>
      <c r="I309" t="inlineStr">
        <is>
          <t>2031-03-22</t>
        </is>
      </c>
      <c r="J309" t="inlineStr">
        <is>
          <t>Control Union</t>
        </is>
      </c>
      <c r="K309" t="inlineStr">
        <is>
          <t>Valid</t>
        </is>
      </c>
    </row>
    <row r="310">
      <c r="A310" t="inlineStr">
        <is>
          <t>2025852464086908928</t>
        </is>
      </c>
      <c r="B310" t="inlineStr">
        <is>
          <t>SCG INTERNATIONAL CORPORATION COMPANY LIMITED</t>
        </is>
      </c>
      <c r="C310" t="inlineStr">
        <is>
          <t>Thailand</t>
        </is>
      </c>
      <c r="D310" t="inlineStr">
        <is>
          <t>Trader</t>
        </is>
      </c>
      <c r="E310" t="inlineStr">
        <is>
          <t>FIT/FIP</t>
        </is>
      </c>
      <c r="F310" t="inlineStr">
        <is>
          <t>GGLS1, GGLS4</t>
        </is>
      </c>
      <c r="G310" t="inlineStr">
        <is>
          <t>AR, Cat 5</t>
        </is>
      </c>
      <c r="H310" t="inlineStr">
        <is>
          <t>2026-02-09</t>
        </is>
      </c>
      <c r="I310" t="inlineStr">
        <is>
          <t>2031-02-08</t>
        </is>
      </c>
      <c r="J310" t="inlineStr">
        <is>
          <t>Control Union</t>
        </is>
      </c>
      <c r="K310" t="inlineStr">
        <is>
          <t>Valid</t>
        </is>
      </c>
    </row>
    <row r="311">
      <c r="A311" t="inlineStr">
        <is>
          <t>1882868716517982208</t>
        </is>
      </c>
      <c r="B311" t="inlineStr">
        <is>
          <t>SHINSHO (MALAYSIA) SDN. BHD</t>
        </is>
      </c>
      <c r="C311" t="inlineStr">
        <is>
          <t>Malaysia</t>
        </is>
      </c>
      <c r="D311" t="inlineStr">
        <is>
          <t>First collector</t>
        </is>
      </c>
      <c r="E311" t="inlineStr">
        <is>
          <t>FIT/FIP</t>
        </is>
      </c>
      <c r="F311" t="inlineStr">
        <is>
          <t>GGLS1, GGLS4</t>
        </is>
      </c>
      <c r="G311" t="inlineStr">
        <is>
          <t>AR, Cat 5</t>
        </is>
      </c>
      <c r="H311" t="inlineStr">
        <is>
          <t>2024-11-28</t>
        </is>
      </c>
      <c r="I311" t="inlineStr">
        <is>
          <t>2029-11-27</t>
        </is>
      </c>
      <c r="J311" t="inlineStr">
        <is>
          <t>Control Union</t>
        </is>
      </c>
      <c r="K311" t="inlineStr">
        <is>
          <t>Valid</t>
        </is>
      </c>
    </row>
    <row r="312">
      <c r="A312" t="inlineStr">
        <is>
          <t>1884516982540206080</t>
        </is>
      </c>
      <c r="B312" t="inlineStr">
        <is>
          <t>SIMPANGAN KURNIA SDN BHD</t>
        </is>
      </c>
      <c r="C312" t="inlineStr">
        <is>
          <t>Malaysia</t>
        </is>
      </c>
      <c r="D312" t="inlineStr">
        <is>
          <t>First collector</t>
        </is>
      </c>
      <c r="E312" t="inlineStr">
        <is>
          <t>FIT/FIP</t>
        </is>
      </c>
      <c r="F312" t="inlineStr">
        <is>
          <t>GGLS1, GGLS4</t>
        </is>
      </c>
      <c r="G312" t="inlineStr">
        <is>
          <t>AR</t>
        </is>
      </c>
      <c r="H312" t="inlineStr">
        <is>
          <t>2024-06-25</t>
        </is>
      </c>
      <c r="I312" t="inlineStr">
        <is>
          <t>2029-06-24</t>
        </is>
      </c>
      <c r="J312" t="inlineStr">
        <is>
          <t>Control Union</t>
        </is>
      </c>
      <c r="K312" t="inlineStr">
        <is>
          <t>Valid</t>
        </is>
      </c>
    </row>
    <row r="313">
      <c r="A313" t="inlineStr">
        <is>
          <t>1873699685965758464</t>
        </is>
      </c>
      <c r="B313" t="inlineStr">
        <is>
          <t>SJJS (M) SDN BHD</t>
        </is>
      </c>
      <c r="C313" t="inlineStr">
        <is>
          <t>Malaysia</t>
        </is>
      </c>
      <c r="D313" t="inlineStr">
        <is>
          <t>First collector</t>
        </is>
      </c>
      <c r="E313" t="inlineStr">
        <is>
          <t>FIT/FIP</t>
        </is>
      </c>
      <c r="F313" t="inlineStr">
        <is>
          <t>GGLS1, GGLS4</t>
        </is>
      </c>
      <c r="G313" t="inlineStr">
        <is>
          <t>AR</t>
        </is>
      </c>
      <c r="H313" t="inlineStr">
        <is>
          <t>2024-08-15</t>
        </is>
      </c>
      <c r="I313" t="inlineStr">
        <is>
          <t>2029-08-14</t>
        </is>
      </c>
      <c r="J313" t="inlineStr">
        <is>
          <t>PT Carsurin Certiva International</t>
        </is>
      </c>
      <c r="K313" t="inlineStr">
        <is>
          <t>Valid</t>
        </is>
      </c>
    </row>
    <row r="314">
      <c r="A314" t="inlineStr">
        <is>
          <t>1883188030479532032</t>
        </is>
      </c>
      <c r="B314" t="inlineStr">
        <is>
          <t>SOP EDIBLE OILS SDN. BHD.</t>
        </is>
      </c>
      <c r="C314" t="inlineStr">
        <is>
          <t>Malaysia</t>
        </is>
      </c>
      <c r="D314" t="inlineStr">
        <is>
          <t>First collector</t>
        </is>
      </c>
      <c r="E314" t="inlineStr">
        <is>
          <t>FIT/FIP</t>
        </is>
      </c>
      <c r="F314" t="inlineStr">
        <is>
          <t>GGLS1, GGLS4</t>
        </is>
      </c>
      <c r="G314" t="inlineStr">
        <is>
          <t>AR</t>
        </is>
      </c>
      <c r="H314" t="inlineStr">
        <is>
          <t>2023-11-14</t>
        </is>
      </c>
      <c r="I314" t="inlineStr">
        <is>
          <t>2028-11-13</t>
        </is>
      </c>
      <c r="J314" t="inlineStr">
        <is>
          <t>Control Union</t>
        </is>
      </c>
      <c r="K314" t="inlineStr">
        <is>
          <t>Valid</t>
        </is>
      </c>
    </row>
    <row r="315">
      <c r="A315" t="inlineStr">
        <is>
          <t>1884187543931453440</t>
        </is>
      </c>
      <c r="B315" t="inlineStr">
        <is>
          <t>SOUTH ASIA INTERNATIONAL DISTRIBUTION  SDN BHD</t>
        </is>
      </c>
      <c r="C315" t="inlineStr">
        <is>
          <t>Malaysia</t>
        </is>
      </c>
      <c r="D315" t="inlineStr">
        <is>
          <t>First collector</t>
        </is>
      </c>
      <c r="E315" t="inlineStr">
        <is>
          <t>FIT/FIP</t>
        </is>
      </c>
      <c r="F315" t="inlineStr">
        <is>
          <t>GGLS1, GGLS4</t>
        </is>
      </c>
      <c r="G315" t="inlineStr">
        <is>
          <t>AR</t>
        </is>
      </c>
      <c r="H315" t="inlineStr">
        <is>
          <t>2022-06-30</t>
        </is>
      </c>
      <c r="I315" t="inlineStr">
        <is>
          <t>2027-06-29</t>
        </is>
      </c>
      <c r="J315" t="inlineStr">
        <is>
          <t>Control Union</t>
        </is>
      </c>
      <c r="K315" t="inlineStr">
        <is>
          <t>Revoked</t>
        </is>
      </c>
    </row>
    <row r="316">
      <c r="A316" t="inlineStr">
        <is>
          <t>1883536027738439680</t>
        </is>
      </c>
      <c r="B316" t="inlineStr">
        <is>
          <t>SPK PARAWOOD CO.,LTD. Branch 001</t>
        </is>
      </c>
      <c r="C316" t="inlineStr">
        <is>
          <t>Thailand</t>
        </is>
      </c>
      <c r="D316" t="inlineStr">
        <is>
          <t>Trader</t>
        </is>
      </c>
      <c r="E316" t="inlineStr">
        <is>
          <t>SDE++</t>
        </is>
      </c>
      <c r="F316" t="inlineStr">
        <is>
          <t>GGLS1, GGLS4</t>
        </is>
      </c>
      <c r="G316" t="inlineStr">
        <is>
          <t>Cat 5</t>
        </is>
      </c>
      <c r="H316" t="inlineStr">
        <is>
          <t>2024-06-20</t>
        </is>
      </c>
      <c r="I316" t="inlineStr">
        <is>
          <t>2029-06-19</t>
        </is>
      </c>
      <c r="J316" t="inlineStr">
        <is>
          <t>Control Union</t>
        </is>
      </c>
      <c r="K316" t="inlineStr">
        <is>
          <t>Revoked</t>
        </is>
      </c>
    </row>
    <row r="317">
      <c r="A317" t="inlineStr">
        <is>
          <t>1971439716037296128</t>
        </is>
      </c>
      <c r="B317" t="inlineStr">
        <is>
          <t>STX Forest Malaysia Sdn Bhd</t>
        </is>
      </c>
      <c r="C317" t="inlineStr">
        <is>
          <t>Malaysia</t>
        </is>
      </c>
      <c r="D317" t="inlineStr">
        <is>
          <t>Biomass producer, Trader</t>
        </is>
      </c>
      <c r="E317" t="inlineStr">
        <is>
          <t>FIT/FIP</t>
        </is>
      </c>
      <c r="F317" t="inlineStr">
        <is>
          <t>GGLS1, GGLS4</t>
        </is>
      </c>
      <c r="G317" t="inlineStr">
        <is>
          <t>Cat 5</t>
        </is>
      </c>
      <c r="H317" t="inlineStr">
        <is>
          <t>2024-04-01</t>
        </is>
      </c>
      <c r="I317" t="inlineStr">
        <is>
          <t>2029-03-31</t>
        </is>
      </c>
      <c r="J317" t="inlineStr">
        <is>
          <t>Trans Certification &amp; Inspection SDN. BHD.</t>
        </is>
      </c>
      <c r="K317" t="inlineStr">
        <is>
          <t>Valid</t>
        </is>
      </c>
    </row>
    <row r="318">
      <c r="A318" t="inlineStr">
        <is>
          <t>1882780656056926208</t>
        </is>
      </c>
      <c r="B318" t="inlineStr">
        <is>
          <t>SUPER BIOMASS SDN. BHD.</t>
        </is>
      </c>
      <c r="C318" t="inlineStr">
        <is>
          <t>Malaysia</t>
        </is>
      </c>
      <c r="D318" t="inlineStr">
        <is>
          <t>First collector</t>
        </is>
      </c>
      <c r="E318" t="inlineStr">
        <is>
          <t>FIT/FIP</t>
        </is>
      </c>
      <c r="F318" t="inlineStr">
        <is>
          <t>GGLS1, GGLS4</t>
        </is>
      </c>
      <c r="G318" t="inlineStr">
        <is>
          <t>AR</t>
        </is>
      </c>
      <c r="H318" t="inlineStr">
        <is>
          <t>2024-05-20</t>
        </is>
      </c>
      <c r="I318" t="inlineStr">
        <is>
          <t>2029-05-19</t>
        </is>
      </c>
      <c r="J318" t="inlineStr">
        <is>
          <t>Control Union</t>
        </is>
      </c>
      <c r="K318" t="inlineStr">
        <is>
          <t>Valid</t>
        </is>
      </c>
    </row>
    <row r="319">
      <c r="A319" t="inlineStr">
        <is>
          <t>1884173025587232768</t>
        </is>
      </c>
      <c r="B319" t="inlineStr">
        <is>
          <t>Saffron Resources And Trading Sdn Bhd</t>
        </is>
      </c>
      <c r="C319" t="inlineStr">
        <is>
          <t>Malaysia</t>
        </is>
      </c>
      <c r="D319" t="inlineStr">
        <is>
          <t>Trader</t>
        </is>
      </c>
      <c r="E319" t="inlineStr">
        <is>
          <t>FIT/FIP</t>
        </is>
      </c>
      <c r="F319" t="inlineStr">
        <is>
          <t>GGLS1, GGLS4</t>
        </is>
      </c>
      <c r="G319" t="inlineStr">
        <is>
          <t>AR</t>
        </is>
      </c>
      <c r="H319" t="inlineStr">
        <is>
          <t>2022-09-24</t>
        </is>
      </c>
      <c r="I319" t="inlineStr">
        <is>
          <t>2027-09-23</t>
        </is>
      </c>
      <c r="J319" t="inlineStr">
        <is>
          <t>Control Union</t>
        </is>
      </c>
      <c r="K319" t="inlineStr">
        <is>
          <t>Valid</t>
        </is>
      </c>
    </row>
    <row r="320">
      <c r="A320" t="inlineStr">
        <is>
          <t>1884191120766795776</t>
        </is>
      </c>
      <c r="B320" t="inlineStr">
        <is>
          <t>Samsung C&amp;T Corporation</t>
        </is>
      </c>
      <c r="C320" t="inlineStr">
        <is>
          <t>South Korea</t>
        </is>
      </c>
      <c r="D320" t="inlineStr">
        <is>
          <t>Trader</t>
        </is>
      </c>
      <c r="E320" t="inlineStr">
        <is>
          <t>FIT/FIP</t>
        </is>
      </c>
      <c r="F320" t="inlineStr">
        <is>
          <t>GGLS1, GGLS4</t>
        </is>
      </c>
      <c r="G320" t="inlineStr">
        <is>
          <t>AR, WB</t>
        </is>
      </c>
      <c r="H320" t="inlineStr">
        <is>
          <t>2022-06-15</t>
        </is>
      </c>
      <c r="I320" t="inlineStr">
        <is>
          <t>2027-06-14</t>
        </is>
      </c>
      <c r="J320" t="inlineStr">
        <is>
          <t>PT PCU Indonesia</t>
        </is>
      </c>
      <c r="K320" t="inlineStr">
        <is>
          <t>Valid</t>
        </is>
      </c>
    </row>
    <row r="321">
      <c r="A321" t="inlineStr">
        <is>
          <t>2067196120320180224</t>
        </is>
      </c>
      <c r="B321" t="inlineStr">
        <is>
          <t>Sara Power Inc.</t>
        </is>
      </c>
      <c r="C321" t="inlineStr">
        <is>
          <t>Japan</t>
        </is>
      </c>
      <c r="D321" t="inlineStr">
        <is>
          <t>Power company</t>
        </is>
      </c>
      <c r="E321" t="inlineStr">
        <is>
          <t>FIT/FIP</t>
        </is>
      </c>
      <c r="F321" t="inlineStr">
        <is>
          <t>GGLS1, GGLS4, GGLS6</t>
        </is>
      </c>
      <c r="G321" t="inlineStr">
        <is>
          <t>AR, WB</t>
        </is>
      </c>
      <c r="H321" t="inlineStr">
        <is>
          <t>2026-06-10</t>
        </is>
      </c>
      <c r="I321" t="inlineStr">
        <is>
          <t>2031-06-09</t>
        </is>
      </c>
      <c r="J321" t="inlineStr">
        <is>
          <t>Control Union</t>
        </is>
      </c>
      <c r="K321" t="inlineStr">
        <is>
          <t>Valid</t>
        </is>
      </c>
    </row>
    <row r="322">
      <c r="A322" t="inlineStr">
        <is>
          <t>1882866960207708160</t>
        </is>
      </c>
      <c r="B322" t="inlineStr">
        <is>
          <t>SaraRasa Bioindo Pte. Ltd.</t>
        </is>
      </c>
      <c r="C322" t="inlineStr">
        <is>
          <t>Singapore</t>
        </is>
      </c>
      <c r="D322" t="inlineStr">
        <is>
          <t>Trader</t>
        </is>
      </c>
      <c r="E322" t="inlineStr">
        <is>
          <t>FIT/FIP</t>
        </is>
      </c>
      <c r="F322" t="inlineStr">
        <is>
          <t>GGLS1, GGLS4</t>
        </is>
      </c>
      <c r="G322" t="inlineStr">
        <is>
          <t>AR, Cat 5, WB</t>
        </is>
      </c>
      <c r="H322" t="inlineStr">
        <is>
          <t>2024-12-10</t>
        </is>
      </c>
      <c r="I322" t="inlineStr">
        <is>
          <t>2029-12-09</t>
        </is>
      </c>
      <c r="J322" t="inlineStr">
        <is>
          <t>Control Union</t>
        </is>
      </c>
      <c r="K322" t="inlineStr">
        <is>
          <t>Valid</t>
        </is>
      </c>
    </row>
    <row r="323">
      <c r="A323" t="inlineStr">
        <is>
          <t>2001227632628203520</t>
        </is>
      </c>
      <c r="B323" t="inlineStr">
        <is>
          <t>Shandong Chengwu Bole Manor Biotechnology Co., Ltd</t>
        </is>
      </c>
      <c r="C323" t="inlineStr">
        <is>
          <t>China</t>
        </is>
      </c>
      <c r="D323" t="inlineStr">
        <is>
          <t>First collector, Trader</t>
        </is>
      </c>
      <c r="E323" t="inlineStr">
        <is>
          <t>FIT/FIP</t>
        </is>
      </c>
      <c r="F323" t="inlineStr">
        <is>
          <t>GGLS1, GGLS4</t>
        </is>
      </c>
      <c r="G323" t="inlineStr">
        <is>
          <t>AR, Cat 5</t>
        </is>
      </c>
      <c r="H323" t="inlineStr">
        <is>
          <t>2025-06-04</t>
        </is>
      </c>
      <c r="I323" t="inlineStr">
        <is>
          <t>2030-06-03</t>
        </is>
      </c>
      <c r="J323" t="inlineStr">
        <is>
          <t>PT PCU Indonesia</t>
        </is>
      </c>
      <c r="K323" t="inlineStr">
        <is>
          <t>Valid</t>
        </is>
      </c>
    </row>
    <row r="324">
      <c r="A324" t="inlineStr">
        <is>
          <t>1999447428167630848</t>
        </is>
      </c>
      <c r="B324" t="inlineStr">
        <is>
          <t>Shandong Zhaoyi Biotechnology Co., Ltd</t>
        </is>
      </c>
      <c r="C324" t="inlineStr">
        <is>
          <t>China</t>
        </is>
      </c>
      <c r="D324" t="inlineStr">
        <is>
          <t>Trader</t>
        </is>
      </c>
      <c r="E324" t="inlineStr">
        <is>
          <t>FIT/FIP</t>
        </is>
      </c>
      <c r="F324" t="inlineStr">
        <is>
          <t>GGLS1, GGLS4</t>
        </is>
      </c>
      <c r="G324" t="inlineStr">
        <is>
          <t>AR, Cat 5</t>
        </is>
      </c>
      <c r="H324" t="inlineStr">
        <is>
          <t>2025-06-04</t>
        </is>
      </c>
      <c r="I324" t="inlineStr">
        <is>
          <t>2030-06-03</t>
        </is>
      </c>
      <c r="J324" t="inlineStr">
        <is>
          <t>PT PCU Indonesia</t>
        </is>
      </c>
      <c r="K324" t="inlineStr">
        <is>
          <t>Valid</t>
        </is>
      </c>
    </row>
    <row r="325">
      <c r="A325" t="inlineStr">
        <is>
          <t>2049806097824350208</t>
        </is>
      </c>
      <c r="B325" t="inlineStr">
        <is>
          <t>Shenzhen eParcel Technology Co.,Ltd.</t>
        </is>
      </c>
      <c r="C325" t="inlineStr">
        <is>
          <t>China</t>
        </is>
      </c>
      <c r="D325" t="inlineStr">
        <is>
          <t>Biomass producer, Trader</t>
        </is>
      </c>
      <c r="E325" t="inlineStr">
        <is>
          <t>FIT/FIP</t>
        </is>
      </c>
      <c r="F325" t="inlineStr">
        <is>
          <t>GGLS1, GGLS4</t>
        </is>
      </c>
      <c r="G325" t="inlineStr">
        <is>
          <t>WB</t>
        </is>
      </c>
      <c r="H325" t="inlineStr">
        <is>
          <t>2026-04-10</t>
        </is>
      </c>
      <c r="I325" t="inlineStr">
        <is>
          <t>2031-04-09</t>
        </is>
      </c>
      <c r="J325" t="inlineStr">
        <is>
          <t>Control Union</t>
        </is>
      </c>
      <c r="K325" t="inlineStr">
        <is>
          <t>Valid</t>
        </is>
      </c>
    </row>
    <row r="326">
      <c r="A326" t="inlineStr">
        <is>
          <t>1884172990459936768</t>
        </is>
      </c>
      <c r="B326" t="inlineStr">
        <is>
          <t>Shinsho Corporation</t>
        </is>
      </c>
      <c r="C326" t="inlineStr">
        <is>
          <t>Japan</t>
        </is>
      </c>
      <c r="D326" t="inlineStr">
        <is>
          <t>Trader</t>
        </is>
      </c>
      <c r="E326" t="inlineStr">
        <is>
          <t>FIT/FIP</t>
        </is>
      </c>
      <c r="F326" t="inlineStr">
        <is>
          <t>GGLS1, GGLS4</t>
        </is>
      </c>
      <c r="G326" t="inlineStr">
        <is>
          <t>AR</t>
        </is>
      </c>
      <c r="H326" t="inlineStr">
        <is>
          <t>2021-12-03</t>
        </is>
      </c>
      <c r="I326" t="inlineStr">
        <is>
          <t>2026-12-02</t>
        </is>
      </c>
      <c r="J326" t="inlineStr">
        <is>
          <t>Control Union</t>
        </is>
      </c>
      <c r="K326" t="inlineStr">
        <is>
          <t>Valid</t>
        </is>
      </c>
    </row>
    <row r="327">
      <c r="A327" t="inlineStr">
        <is>
          <t>1884169872141713408</t>
        </is>
      </c>
      <c r="B327" t="inlineStr">
        <is>
          <t>Sigma Power Ariake Corporation</t>
        </is>
      </c>
      <c r="C327" t="inlineStr">
        <is>
          <t>Japan</t>
        </is>
      </c>
      <c r="D327" t="inlineStr">
        <is>
          <t>Power company</t>
        </is>
      </c>
      <c r="E327" t="inlineStr">
        <is>
          <t>FIT/FIP</t>
        </is>
      </c>
      <c r="F327" t="inlineStr">
        <is>
          <t>GGLS1, GGLS4, GGLS6</t>
        </is>
      </c>
      <c r="G327" t="inlineStr">
        <is>
          <t>AR</t>
        </is>
      </c>
      <c r="H327" t="inlineStr">
        <is>
          <t>2022-10-07</t>
        </is>
      </c>
      <c r="I327" t="inlineStr">
        <is>
          <t>2027-10-06</t>
        </is>
      </c>
      <c r="J327" t="inlineStr">
        <is>
          <t>Control Union</t>
        </is>
      </c>
      <c r="K327" t="inlineStr">
        <is>
          <t>Valid</t>
        </is>
      </c>
    </row>
    <row r="328">
      <c r="A328" t="inlineStr">
        <is>
          <t>1882869395135397888</t>
        </is>
      </c>
      <c r="B328" t="inlineStr">
        <is>
          <t>Sojitz Canada Corporation</t>
        </is>
      </c>
      <c r="C328" t="inlineStr">
        <is>
          <t>Canada</t>
        </is>
      </c>
      <c r="D328" t="inlineStr">
        <is>
          <t>Trader</t>
        </is>
      </c>
      <c r="E328" t="inlineStr">
        <is>
          <t>SDE++</t>
        </is>
      </c>
      <c r="F328" t="inlineStr">
        <is>
          <t>GGLS1, GGLS4</t>
        </is>
      </c>
      <c r="G328" t="inlineStr">
        <is>
          <t>Cat 5</t>
        </is>
      </c>
      <c r="H328" t="inlineStr">
        <is>
          <t>2024-10-31</t>
        </is>
      </c>
      <c r="I328" t="inlineStr">
        <is>
          <t>2029-10-30</t>
        </is>
      </c>
      <c r="J328" t="inlineStr">
        <is>
          <t>Control Union</t>
        </is>
      </c>
      <c r="K328" t="inlineStr">
        <is>
          <t>Valid</t>
        </is>
      </c>
    </row>
    <row r="329">
      <c r="A329" t="inlineStr">
        <is>
          <t>1882869395135397888</t>
        </is>
      </c>
      <c r="B329" t="inlineStr">
        <is>
          <t>Sojitz Canada Corporation</t>
        </is>
      </c>
      <c r="C329" t="inlineStr">
        <is>
          <t>Canada</t>
        </is>
      </c>
      <c r="D329" t="inlineStr">
        <is>
          <t>Trader</t>
        </is>
      </c>
      <c r="E329" t="inlineStr">
        <is>
          <t>FIT/FIP</t>
        </is>
      </c>
      <c r="F329" t="inlineStr">
        <is>
          <t>GGLS1, GGLS4</t>
        </is>
      </c>
      <c r="G329" t="inlineStr">
        <is>
          <t>AR</t>
        </is>
      </c>
      <c r="H329" t="inlineStr">
        <is>
          <t>2024-10-31</t>
        </is>
      </c>
      <c r="I329" t="inlineStr">
        <is>
          <t>2029-10-30</t>
        </is>
      </c>
      <c r="J329" t="inlineStr">
        <is>
          <t>Control Union</t>
        </is>
      </c>
      <c r="K329" t="inlineStr">
        <is>
          <t>Valid</t>
        </is>
      </c>
    </row>
    <row r="330">
      <c r="A330" t="inlineStr">
        <is>
          <t>1884180083455819776</t>
        </is>
      </c>
      <c r="B330" t="inlineStr">
        <is>
          <t>Sojitz Corporation</t>
        </is>
      </c>
      <c r="C330" t="inlineStr">
        <is>
          <t>Japan</t>
        </is>
      </c>
      <c r="D330" t="inlineStr">
        <is>
          <t>Trader</t>
        </is>
      </c>
      <c r="E330" t="inlineStr">
        <is>
          <t>FIT/FIP</t>
        </is>
      </c>
      <c r="F330" t="inlineStr">
        <is>
          <t>GGLS1, GGLS4</t>
        </is>
      </c>
      <c r="G330" t="inlineStr">
        <is>
          <t>AR, WB</t>
        </is>
      </c>
      <c r="H330" t="inlineStr">
        <is>
          <t>2022-08-22</t>
        </is>
      </c>
      <c r="I330" t="inlineStr">
        <is>
          <t>2027-08-21</t>
        </is>
      </c>
      <c r="J330" t="inlineStr">
        <is>
          <t>Control Union</t>
        </is>
      </c>
      <c r="K330" t="inlineStr">
        <is>
          <t>Valid</t>
        </is>
      </c>
    </row>
    <row r="331">
      <c r="A331" t="inlineStr">
        <is>
          <t>2076507644255797248</t>
        </is>
      </c>
      <c r="B331" t="inlineStr">
        <is>
          <t>Sojitz Kyushu Corporation</t>
        </is>
      </c>
      <c r="C331" t="inlineStr">
        <is>
          <t>Japan</t>
        </is>
      </c>
      <c r="D331" t="inlineStr">
        <is>
          <t>Trader</t>
        </is>
      </c>
      <c r="E331" t="inlineStr">
        <is>
          <t>FIT/FIP</t>
        </is>
      </c>
      <c r="F331" t="inlineStr">
        <is>
          <t>GGLS1, GGLS4</t>
        </is>
      </c>
      <c r="G331" t="inlineStr">
        <is>
          <t>AR</t>
        </is>
      </c>
      <c r="H331" t="inlineStr">
        <is>
          <t>2026-07-08</t>
        </is>
      </c>
      <c r="I331" t="inlineStr">
        <is>
          <t>2031-07-07</t>
        </is>
      </c>
      <c r="J331" t="inlineStr">
        <is>
          <t>Control Union</t>
        </is>
      </c>
      <c r="K331" t="inlineStr">
        <is>
          <t>Valid</t>
        </is>
      </c>
    </row>
    <row r="332">
      <c r="A332" t="inlineStr">
        <is>
          <t>1884512304645537792</t>
        </is>
      </c>
      <c r="B332" t="inlineStr">
        <is>
          <t>Steampower- Soluções Energéticas, S.A.</t>
        </is>
      </c>
      <c r="C332" t="inlineStr">
        <is>
          <t>Portugal</t>
        </is>
      </c>
      <c r="D332" t="inlineStr">
        <is>
          <t>Trader</t>
        </is>
      </c>
      <c r="E332" t="inlineStr">
        <is>
          <t>SDE++</t>
        </is>
      </c>
      <c r="F332" t="inlineStr">
        <is>
          <t>GGLS1, GGLS4</t>
        </is>
      </c>
      <c r="G332" t="inlineStr">
        <is>
          <t>Cat 5</t>
        </is>
      </c>
      <c r="H332" t="inlineStr">
        <is>
          <t>2024-09-27</t>
        </is>
      </c>
      <c r="I332" t="inlineStr">
        <is>
          <t>2029-09-26</t>
        </is>
      </c>
      <c r="J332" t="inlineStr">
        <is>
          <t>Control Union</t>
        </is>
      </c>
      <c r="K332" t="inlineStr">
        <is>
          <t>Valid</t>
        </is>
      </c>
    </row>
    <row r="333">
      <c r="A333" t="inlineStr">
        <is>
          <t>1884194183380467712</t>
        </is>
      </c>
      <c r="B333" t="inlineStr">
        <is>
          <t>Sumitomo Forestry Co., Ltd.</t>
        </is>
      </c>
      <c r="C333" t="inlineStr">
        <is>
          <t>Japan</t>
        </is>
      </c>
      <c r="D333" t="inlineStr">
        <is>
          <t>Trader</t>
        </is>
      </c>
      <c r="E333" t="inlineStr">
        <is>
          <t>FIT/FIP</t>
        </is>
      </c>
      <c r="F333" t="inlineStr">
        <is>
          <t>GGLS1, GGLS4, GGLS6</t>
        </is>
      </c>
      <c r="G333" t="inlineStr">
        <is>
          <t>AR</t>
        </is>
      </c>
      <c r="H333" t="inlineStr">
        <is>
          <t>2022-05-08</t>
        </is>
      </c>
      <c r="I333" t="inlineStr">
        <is>
          <t>2027-05-07</t>
        </is>
      </c>
      <c r="J333" t="inlineStr">
        <is>
          <t>Control Union</t>
        </is>
      </c>
      <c r="K333" t="inlineStr">
        <is>
          <t>Valid</t>
        </is>
      </c>
    </row>
    <row r="334">
      <c r="A334" t="inlineStr">
        <is>
          <t>1883265540487643136</t>
        </is>
      </c>
      <c r="B334" t="inlineStr">
        <is>
          <t>Summit Energy Corporation</t>
        </is>
      </c>
      <c r="C334" t="inlineStr">
        <is>
          <t>Japan</t>
        </is>
      </c>
      <c r="D334" t="inlineStr">
        <is>
          <t>Trader</t>
        </is>
      </c>
      <c r="E334" t="inlineStr">
        <is>
          <t>FIT/FIP</t>
        </is>
      </c>
      <c r="F334" t="inlineStr">
        <is>
          <t>GGLS1, GGLS4</t>
        </is>
      </c>
      <c r="G334" t="inlineStr">
        <is>
          <t>AR</t>
        </is>
      </c>
      <c r="H334" t="inlineStr">
        <is>
          <t>2023-09-03</t>
        </is>
      </c>
      <c r="I334" t="inlineStr">
        <is>
          <t>2028-09-02</t>
        </is>
      </c>
      <c r="J334" t="inlineStr">
        <is>
          <t>Control Union</t>
        </is>
      </c>
      <c r="K334" t="inlineStr">
        <is>
          <t>Valid</t>
        </is>
      </c>
    </row>
    <row r="335">
      <c r="A335" t="inlineStr">
        <is>
          <t>1883262630798295040</t>
        </is>
      </c>
      <c r="B335" t="inlineStr">
        <is>
          <t>Summit Handa Power Corporation</t>
        </is>
      </c>
      <c r="C335" t="inlineStr">
        <is>
          <t>Japan</t>
        </is>
      </c>
      <c r="D335" t="inlineStr">
        <is>
          <t>Power company</t>
        </is>
      </c>
      <c r="E335" t="inlineStr">
        <is>
          <t>FIT/FIP</t>
        </is>
      </c>
      <c r="F335" t="inlineStr">
        <is>
          <t>GGLS1, GGLS4, GGLS6</t>
        </is>
      </c>
      <c r="G335" t="inlineStr">
        <is>
          <t>AR</t>
        </is>
      </c>
      <c r="H335" t="inlineStr">
        <is>
          <t>2023-09-03</t>
        </is>
      </c>
      <c r="I335" t="inlineStr">
        <is>
          <t>2028-09-02</t>
        </is>
      </c>
      <c r="J335" t="inlineStr">
        <is>
          <t>Control Union</t>
        </is>
      </c>
      <c r="K335" t="inlineStr">
        <is>
          <t>Valid</t>
        </is>
      </c>
    </row>
    <row r="336">
      <c r="A336" t="inlineStr">
        <is>
          <t>2066541809605017600</t>
        </is>
      </c>
      <c r="B336" t="inlineStr">
        <is>
          <t>Suzhou Honeycomb Biotechnology Co., Ltd.</t>
        </is>
      </c>
      <c r="C336" t="inlineStr">
        <is>
          <t>China</t>
        </is>
      </c>
      <c r="D336" t="inlineStr">
        <is>
          <t>Biomass producer, Trader</t>
        </is>
      </c>
      <c r="E336" t="inlineStr">
        <is>
          <t>FIT/FIP</t>
        </is>
      </c>
      <c r="F336" t="inlineStr">
        <is>
          <t>GGLS1, GGLS4</t>
        </is>
      </c>
      <c r="G336" t="inlineStr">
        <is>
          <t>WB</t>
        </is>
      </c>
      <c r="H336" t="inlineStr">
        <is>
          <t>2026-06-01</t>
        </is>
      </c>
      <c r="I336" t="inlineStr">
        <is>
          <t>2031-05-31</t>
        </is>
      </c>
      <c r="J336" t="inlineStr">
        <is>
          <t>Control Union</t>
        </is>
      </c>
      <c r="K336" t="inlineStr">
        <is>
          <t>Valid</t>
        </is>
      </c>
    </row>
    <row r="337">
      <c r="A337" t="inlineStr">
        <is>
          <t>2070505732800774144</t>
        </is>
      </c>
      <c r="B337" t="inlineStr">
        <is>
          <t>Suzhou Taineng Bioenergy Co., Ltd.</t>
        </is>
      </c>
      <c r="C337" t="inlineStr">
        <is>
          <t>China</t>
        </is>
      </c>
      <c r="D337" t="inlineStr">
        <is>
          <t>Biomass producer</t>
        </is>
      </c>
      <c r="E337" t="inlineStr">
        <is>
          <t>FIT/FIP</t>
        </is>
      </c>
      <c r="F337" t="inlineStr">
        <is>
          <t>GGLS1, GGLS4</t>
        </is>
      </c>
      <c r="G337" t="inlineStr">
        <is>
          <t>WB</t>
        </is>
      </c>
      <c r="H337" t="inlineStr">
        <is>
          <t>2026-06-26</t>
        </is>
      </c>
      <c r="I337" t="inlineStr">
        <is>
          <t>2031-06-25</t>
        </is>
      </c>
      <c r="J337" t="inlineStr">
        <is>
          <t>Control Union</t>
        </is>
      </c>
      <c r="K337" t="inlineStr">
        <is>
          <t>Valid</t>
        </is>
      </c>
    </row>
    <row r="338">
      <c r="A338" t="inlineStr">
        <is>
          <t>1884178276327358464</t>
        </is>
      </c>
      <c r="B338" t="inlineStr">
        <is>
          <t>TABM SDN. BHD.</t>
        </is>
      </c>
      <c r="C338" t="inlineStr">
        <is>
          <t>Malaysia</t>
        </is>
      </c>
      <c r="D338" t="inlineStr">
        <is>
          <t>First collector</t>
        </is>
      </c>
      <c r="E338" t="inlineStr">
        <is>
          <t>FIT/FIP</t>
        </is>
      </c>
      <c r="F338" t="inlineStr">
        <is>
          <t>GGLS1, GGLS4</t>
        </is>
      </c>
      <c r="G338" t="inlineStr">
        <is>
          <t>AR, Cat 5</t>
        </is>
      </c>
      <c r="H338" t="inlineStr">
        <is>
          <t>2022-08-29</t>
        </is>
      </c>
      <c r="I338" t="inlineStr">
        <is>
          <t>2027-08-28</t>
        </is>
      </c>
      <c r="J338" t="inlineStr">
        <is>
          <t>PT PCU Indonesia</t>
        </is>
      </c>
      <c r="K338" t="inlineStr">
        <is>
          <t>Valid</t>
        </is>
      </c>
    </row>
    <row r="339">
      <c r="A339" t="inlineStr">
        <is>
          <t>1882884849002348544</t>
        </is>
      </c>
      <c r="B339" t="inlineStr">
        <is>
          <t>TAIHEIYO KOUHATSU INC.</t>
        </is>
      </c>
      <c r="C339" t="inlineStr">
        <is>
          <t>Japan</t>
        </is>
      </c>
      <c r="D339" t="inlineStr">
        <is>
          <t>Trader</t>
        </is>
      </c>
      <c r="E339" t="inlineStr">
        <is>
          <t>FIT/FIP</t>
        </is>
      </c>
      <c r="F339" t="inlineStr">
        <is>
          <t>GGLS1, GGLS4</t>
        </is>
      </c>
      <c r="G339" t="inlineStr">
        <is>
          <t>AR</t>
        </is>
      </c>
      <c r="H339" t="inlineStr">
        <is>
          <t>2024-03-19</t>
        </is>
      </c>
      <c r="I339" t="inlineStr">
        <is>
          <t>2029-03-18</t>
        </is>
      </c>
      <c r="J339" t="inlineStr">
        <is>
          <t>Control Union</t>
        </is>
      </c>
      <c r="K339" t="inlineStr">
        <is>
          <t>Valid</t>
        </is>
      </c>
    </row>
    <row r="340">
      <c r="A340" t="inlineStr">
        <is>
          <t>1884171472763617280</t>
        </is>
      </c>
      <c r="B340" t="inlineStr">
        <is>
          <t>TAKAFUJI co.,ltd</t>
        </is>
      </c>
      <c r="C340" t="inlineStr">
        <is>
          <t>Japan</t>
        </is>
      </c>
      <c r="D340" t="inlineStr">
        <is>
          <t>Trader</t>
        </is>
      </c>
      <c r="E340" t="inlineStr">
        <is>
          <t>FIT/FIP</t>
        </is>
      </c>
      <c r="F340" t="inlineStr">
        <is>
          <t>GGLS1, GGLS4</t>
        </is>
      </c>
      <c r="G340" t="inlineStr">
        <is>
          <t>AR</t>
        </is>
      </c>
      <c r="H340" t="inlineStr">
        <is>
          <t>2022-10-03</t>
        </is>
      </c>
      <c r="I340" t="inlineStr">
        <is>
          <t>2027-10-02</t>
        </is>
      </c>
      <c r="J340" t="inlineStr">
        <is>
          <t>Control Union</t>
        </is>
      </c>
      <c r="K340" t="inlineStr">
        <is>
          <t>Valid</t>
        </is>
      </c>
    </row>
    <row r="341">
      <c r="A341" t="inlineStr">
        <is>
          <t>1886322067343671296</t>
        </is>
      </c>
      <c r="B341" t="inlineStr">
        <is>
          <t>TANAH EMAS OIL PALM PROCESSING SDN BHD</t>
        </is>
      </c>
      <c r="C341" t="inlineStr">
        <is>
          <t>Malaysia</t>
        </is>
      </c>
      <c r="D341" t="inlineStr">
        <is>
          <t>Biomass producer</t>
        </is>
      </c>
      <c r="E341" t="inlineStr">
        <is>
          <t>FIT/FIP</t>
        </is>
      </c>
      <c r="F341" t="inlineStr">
        <is>
          <t>GGLS1, GGLS4</t>
        </is>
      </c>
      <c r="G341" t="inlineStr">
        <is>
          <t>AR</t>
        </is>
      </c>
      <c r="H341" t="inlineStr">
        <is>
          <t>2024-12-31</t>
        </is>
      </c>
      <c r="I341" t="inlineStr">
        <is>
          <t>2029-12-30</t>
        </is>
      </c>
      <c r="J341" t="inlineStr">
        <is>
          <t>Trans Certification &amp; Inspection SDN. BHD.</t>
        </is>
      </c>
      <c r="K341" t="inlineStr">
        <is>
          <t>Valid</t>
        </is>
      </c>
    </row>
    <row r="342">
      <c r="A342" t="inlineStr">
        <is>
          <t>1873698894416707584</t>
        </is>
      </c>
      <c r="B342" t="inlineStr">
        <is>
          <t>TETIWAT WOODWORK CO., LTD</t>
        </is>
      </c>
      <c r="C342" t="inlineStr">
        <is>
          <t>Thailand</t>
        </is>
      </c>
      <c r="D342" t="inlineStr">
        <is>
          <t>First collector</t>
        </is>
      </c>
      <c r="E342" t="inlineStr">
        <is>
          <t>FIT/FIP</t>
        </is>
      </c>
      <c r="F342" t="inlineStr">
        <is>
          <t>GGLS1, GGLS4</t>
        </is>
      </c>
      <c r="G342" t="inlineStr">
        <is>
          <t>WB</t>
        </is>
      </c>
      <c r="H342" t="inlineStr">
        <is>
          <t>2024-08-15</t>
        </is>
      </c>
      <c r="I342" t="inlineStr">
        <is>
          <t>2029-08-14</t>
        </is>
      </c>
      <c r="J342" t="inlineStr">
        <is>
          <t>PT Carsurin Certiva International</t>
        </is>
      </c>
      <c r="K342" t="inlineStr">
        <is>
          <t>Revoked</t>
        </is>
      </c>
    </row>
    <row r="343">
      <c r="A343" t="inlineStr">
        <is>
          <t>1873698894416707584</t>
        </is>
      </c>
      <c r="B343" t="inlineStr">
        <is>
          <t>TETIWAT WOODWORK CO., LTD</t>
        </is>
      </c>
      <c r="C343" t="inlineStr">
        <is>
          <t>Thailand</t>
        </is>
      </c>
      <c r="D343" t="inlineStr">
        <is>
          <t>First collector</t>
        </is>
      </c>
      <c r="E343" t="inlineStr">
        <is>
          <t>SDE++</t>
        </is>
      </c>
      <c r="F343" t="inlineStr">
        <is>
          <t>GGLS1, GGLS4</t>
        </is>
      </c>
      <c r="G343" t="inlineStr">
        <is>
          <t>Cat 5</t>
        </is>
      </c>
      <c r="H343" t="inlineStr">
        <is>
          <t>2025-05-20</t>
        </is>
      </c>
      <c r="I343" t="inlineStr">
        <is>
          <t>2030-05-19</t>
        </is>
      </c>
      <c r="J343" t="inlineStr">
        <is>
          <t>Control Union</t>
        </is>
      </c>
      <c r="K343" t="inlineStr">
        <is>
          <t>Valid</t>
        </is>
      </c>
    </row>
    <row r="344">
      <c r="A344" t="inlineStr">
        <is>
          <t>1873698894416707584</t>
        </is>
      </c>
      <c r="B344" t="inlineStr">
        <is>
          <t>TETIWAT WOODWORK CO., LTD</t>
        </is>
      </c>
      <c r="C344" t="inlineStr">
        <is>
          <t>Thailand</t>
        </is>
      </c>
      <c r="D344" t="inlineStr">
        <is>
          <t>First collector</t>
        </is>
      </c>
      <c r="E344" t="inlineStr">
        <is>
          <t>FIT/FIP</t>
        </is>
      </c>
      <c r="F344" t="inlineStr">
        <is>
          <t>GGLS1, GGLS4</t>
        </is>
      </c>
      <c r="G344" t="inlineStr">
        <is>
          <t>AR</t>
        </is>
      </c>
      <c r="H344" t="inlineStr">
        <is>
          <t>2025-05-30</t>
        </is>
      </c>
      <c r="I344" t="inlineStr">
        <is>
          <t>2030-05-29</t>
        </is>
      </c>
      <c r="J344" t="inlineStr">
        <is>
          <t>Control Union</t>
        </is>
      </c>
      <c r="K344" t="inlineStr">
        <is>
          <t>Valid</t>
        </is>
      </c>
    </row>
    <row r="345">
      <c r="A345" t="inlineStr">
        <is>
          <t>1883187049758982144</t>
        </is>
      </c>
      <c r="B345" t="inlineStr">
        <is>
          <t>TFA FUEL SDN BHD</t>
        </is>
      </c>
      <c r="C345" t="inlineStr">
        <is>
          <t>Malaysia</t>
        </is>
      </c>
      <c r="D345" t="inlineStr">
        <is>
          <t>Trader</t>
        </is>
      </c>
      <c r="E345" t="inlineStr">
        <is>
          <t>FIT/FIP</t>
        </is>
      </c>
      <c r="F345" t="inlineStr">
        <is>
          <t>GGLS1, GGLS4</t>
        </is>
      </c>
      <c r="G345" t="inlineStr">
        <is>
          <t>AR</t>
        </is>
      </c>
      <c r="H345" t="inlineStr">
        <is>
          <t>2023-11-23</t>
        </is>
      </c>
      <c r="I345" t="inlineStr">
        <is>
          <t>2028-11-22</t>
        </is>
      </c>
      <c r="J345" t="inlineStr">
        <is>
          <t>Control Union</t>
        </is>
      </c>
      <c r="K345" t="inlineStr">
        <is>
          <t>Revoked</t>
        </is>
      </c>
    </row>
    <row r="346">
      <c r="A346" t="inlineStr">
        <is>
          <t>1886327131407908864</t>
        </is>
      </c>
      <c r="B346" t="inlineStr">
        <is>
          <t>TJJ BROTHER TRADING</t>
        </is>
      </c>
      <c r="C346" t="inlineStr">
        <is>
          <t>Malaysia</t>
        </is>
      </c>
      <c r="D346" t="inlineStr">
        <is>
          <t>First collector</t>
        </is>
      </c>
      <c r="E346" t="inlineStr">
        <is>
          <t>FIT/FIP</t>
        </is>
      </c>
      <c r="F346" t="inlineStr">
        <is>
          <t>GGLS1, GGLS4</t>
        </is>
      </c>
      <c r="G346" t="inlineStr">
        <is>
          <t>AR</t>
        </is>
      </c>
      <c r="H346" t="inlineStr">
        <is>
          <t>2023-12-29</t>
        </is>
      </c>
      <c r="I346" t="inlineStr">
        <is>
          <t>2028-12-28</t>
        </is>
      </c>
      <c r="J346" t="inlineStr">
        <is>
          <t>Trans Certification &amp; Inspection SDN. BHD.</t>
        </is>
      </c>
      <c r="K346" t="inlineStr">
        <is>
          <t>Valid</t>
        </is>
      </c>
    </row>
    <row r="347">
      <c r="A347" t="inlineStr">
        <is>
          <t>1884511581652385792</t>
        </is>
      </c>
      <c r="B347" t="inlineStr">
        <is>
          <t>TME BIO RESOURCES SDN BHD</t>
        </is>
      </c>
      <c r="C347" t="inlineStr">
        <is>
          <t>Malaysia</t>
        </is>
      </c>
      <c r="D347" t="inlineStr">
        <is>
          <t>First collector</t>
        </is>
      </c>
      <c r="E347" t="inlineStr">
        <is>
          <t>FIT/FIP</t>
        </is>
      </c>
      <c r="F347" t="inlineStr">
        <is>
          <t>GGLS1, GGLS4</t>
        </is>
      </c>
      <c r="G347" t="inlineStr">
        <is>
          <t>AR</t>
        </is>
      </c>
      <c r="H347" t="inlineStr">
        <is>
          <t>2024-10-18</t>
        </is>
      </c>
      <c r="I347" t="inlineStr">
        <is>
          <t>2029-10-17</t>
        </is>
      </c>
      <c r="J347" t="inlineStr">
        <is>
          <t>Control Union</t>
        </is>
      </c>
      <c r="K347" t="inlineStr">
        <is>
          <t>Valid</t>
        </is>
      </c>
    </row>
    <row r="348">
      <c r="A348" t="inlineStr">
        <is>
          <t>1883525478334070784</t>
        </is>
      </c>
      <c r="B348" t="inlineStr">
        <is>
          <t>TOKI INVESTMENT AND CONSULTANCY JOINT STOCK COMPANY</t>
        </is>
      </c>
      <c r="C348" t="inlineStr">
        <is>
          <t>Vietnam</t>
        </is>
      </c>
      <c r="D348" t="inlineStr">
        <is>
          <t>First collector</t>
        </is>
      </c>
      <c r="E348" t="inlineStr">
        <is>
          <t>FIT/FIP</t>
        </is>
      </c>
      <c r="F348" t="inlineStr">
        <is>
          <t>GGLS1, GGLS4</t>
        </is>
      </c>
      <c r="G348" t="inlineStr">
        <is>
          <t>AR</t>
        </is>
      </c>
      <c r="H348" t="inlineStr">
        <is>
          <t>2024-08-07</t>
        </is>
      </c>
      <c r="I348" t="inlineStr">
        <is>
          <t>2029-08-06</t>
        </is>
      </c>
      <c r="J348" t="inlineStr">
        <is>
          <t>Control Union</t>
        </is>
      </c>
      <c r="K348" t="inlineStr">
        <is>
          <t>Valid</t>
        </is>
      </c>
    </row>
    <row r="349">
      <c r="A349" t="inlineStr">
        <is>
          <t>1883829947252867072</t>
        </is>
      </c>
      <c r="B349" t="inlineStr">
        <is>
          <t>TOYOTA TSUSHO CORPORATION (GGL)</t>
        </is>
      </c>
      <c r="C349" t="inlineStr">
        <is>
          <t>Japan</t>
        </is>
      </c>
      <c r="D349" t="inlineStr">
        <is>
          <t>Trader</t>
        </is>
      </c>
      <c r="E349" t="inlineStr">
        <is>
          <t>FIT/FIP</t>
        </is>
      </c>
      <c r="F349" t="inlineStr">
        <is>
          <t>GGLS1, GGLS4</t>
        </is>
      </c>
      <c r="G349" t="inlineStr">
        <is>
          <t>AR</t>
        </is>
      </c>
      <c r="H349" t="inlineStr">
        <is>
          <t>2021-10-05</t>
        </is>
      </c>
      <c r="I349" t="inlineStr">
        <is>
          <t>2026-10-04</t>
        </is>
      </c>
      <c r="J349" t="inlineStr">
        <is>
          <t>Control Union</t>
        </is>
      </c>
      <c r="K349" t="inlineStr">
        <is>
          <t>Valid</t>
        </is>
      </c>
    </row>
    <row r="350">
      <c r="A350" t="inlineStr">
        <is>
          <t>1884174368007782400</t>
        </is>
      </c>
      <c r="B350" t="inlineStr">
        <is>
          <t>TOYOTSU ENERGY CORPORATION</t>
        </is>
      </c>
      <c r="C350" t="inlineStr">
        <is>
          <t>Japan</t>
        </is>
      </c>
      <c r="D350" t="inlineStr">
        <is>
          <t>Trader</t>
        </is>
      </c>
      <c r="E350" t="inlineStr">
        <is>
          <t>FIT/FIP</t>
        </is>
      </c>
      <c r="F350" t="inlineStr">
        <is>
          <t>GGLS1, GGLS4</t>
        </is>
      </c>
      <c r="G350" t="inlineStr">
        <is>
          <t>AR</t>
        </is>
      </c>
      <c r="H350" t="inlineStr">
        <is>
          <t>2022-09-12</t>
        </is>
      </c>
      <c r="I350" t="inlineStr">
        <is>
          <t>2027-09-11</t>
        </is>
      </c>
      <c r="J350" t="inlineStr">
        <is>
          <t>Control Union</t>
        </is>
      </c>
      <c r="K350" t="inlineStr">
        <is>
          <t>Valid</t>
        </is>
      </c>
    </row>
    <row r="351">
      <c r="A351" t="inlineStr">
        <is>
          <t>1882787913503080448</t>
        </is>
      </c>
      <c r="B351" t="inlineStr">
        <is>
          <t>TSCH INTERNATIONAL TRADING SDN BHD</t>
        </is>
      </c>
      <c r="C351" t="inlineStr">
        <is>
          <t>Malaysia</t>
        </is>
      </c>
      <c r="D351" t="inlineStr">
        <is>
          <t>First collector, Trader</t>
        </is>
      </c>
      <c r="E351" t="inlineStr">
        <is>
          <t>FIT/FIP</t>
        </is>
      </c>
      <c r="F351" t="inlineStr">
        <is>
          <t>GGLS1, GGLS4</t>
        </is>
      </c>
      <c r="G351" t="inlineStr">
        <is>
          <t>AR, Cat 5</t>
        </is>
      </c>
      <c r="H351" t="inlineStr">
        <is>
          <t>2024-04-24</t>
        </is>
      </c>
      <c r="I351" t="inlineStr">
        <is>
          <t>2029-04-23</t>
        </is>
      </c>
      <c r="J351" t="inlineStr">
        <is>
          <t>Control Union</t>
        </is>
      </c>
      <c r="K351" t="inlineStr">
        <is>
          <t>Valid</t>
        </is>
      </c>
    </row>
    <row r="352">
      <c r="A352" t="inlineStr">
        <is>
          <t>1891692514902016000</t>
        </is>
      </c>
      <c r="B352" t="inlineStr">
        <is>
          <t>TTS Planning Co., Ltd.</t>
        </is>
      </c>
      <c r="C352" t="inlineStr">
        <is>
          <t>Japan</t>
        </is>
      </c>
      <c r="D352" t="inlineStr">
        <is>
          <t>Trader</t>
        </is>
      </c>
      <c r="E352" t="inlineStr">
        <is>
          <t>FIT/FIP</t>
        </is>
      </c>
      <c r="F352" t="inlineStr">
        <is>
          <t>GGLS1, GGLS4</t>
        </is>
      </c>
      <c r="G352" t="inlineStr">
        <is>
          <t>AR</t>
        </is>
      </c>
      <c r="H352" t="inlineStr">
        <is>
          <t>2022-10-03</t>
        </is>
      </c>
      <c r="I352" t="inlineStr">
        <is>
          <t>2027-10-02</t>
        </is>
      </c>
      <c r="J352" t="inlineStr">
        <is>
          <t>Control Union</t>
        </is>
      </c>
      <c r="K352" t="inlineStr">
        <is>
          <t>Valid</t>
        </is>
      </c>
    </row>
    <row r="353">
      <c r="A353" t="inlineStr">
        <is>
          <t>1882766789935366144</t>
        </is>
      </c>
      <c r="B353" t="inlineStr">
        <is>
          <t>TWH TRADING CORPORATION</t>
        </is>
      </c>
      <c r="C353" t="inlineStr">
        <is>
          <t>Japan</t>
        </is>
      </c>
      <c r="D353" t="inlineStr">
        <is>
          <t>Trader</t>
        </is>
      </c>
      <c r="E353" t="inlineStr">
        <is>
          <t>FIT/FIP</t>
        </is>
      </c>
      <c r="F353" t="inlineStr">
        <is>
          <t>GGLS1, GGLS4</t>
        </is>
      </c>
      <c r="G353" t="inlineStr">
        <is>
          <t>AR</t>
        </is>
      </c>
      <c r="H353" t="inlineStr">
        <is>
          <t>2024-05-29</t>
        </is>
      </c>
      <c r="I353" t="inlineStr">
        <is>
          <t>2029-05-28</t>
        </is>
      </c>
      <c r="J353" t="inlineStr">
        <is>
          <t>Control Union</t>
        </is>
      </c>
      <c r="K353" t="inlineStr">
        <is>
          <t>Valid</t>
        </is>
      </c>
    </row>
    <row r="354">
      <c r="A354" t="inlineStr">
        <is>
          <t>2026947823320170496</t>
        </is>
      </c>
      <c r="B354" t="inlineStr">
        <is>
          <t>Tahara Biomass Power LLC</t>
        </is>
      </c>
      <c r="C354" t="inlineStr">
        <is>
          <t>Japan</t>
        </is>
      </c>
      <c r="D354" t="inlineStr">
        <is>
          <t>Power company, Trader</t>
        </is>
      </c>
      <c r="E354" t="inlineStr">
        <is>
          <t>FIT/FIP</t>
        </is>
      </c>
      <c r="F354" t="inlineStr">
        <is>
          <t>GGLS1, GGLS4, GGLS6</t>
        </is>
      </c>
      <c r="G354" t="inlineStr">
        <is>
          <t>AR, WB</t>
        </is>
      </c>
      <c r="H354" t="inlineStr">
        <is>
          <t>2025-12-05</t>
        </is>
      </c>
      <c r="I354" t="inlineStr">
        <is>
          <t>2030-12-04</t>
        </is>
      </c>
      <c r="J354" t="inlineStr">
        <is>
          <t>Control Union</t>
        </is>
      </c>
      <c r="K354" t="inlineStr">
        <is>
          <t>Valid</t>
        </is>
      </c>
    </row>
    <row r="355">
      <c r="A355" t="inlineStr">
        <is>
          <t>1884177345858764800</t>
        </is>
      </c>
      <c r="B355" t="inlineStr">
        <is>
          <t>Taiheiyo Cement Corporation</t>
        </is>
      </c>
      <c r="C355" t="inlineStr">
        <is>
          <t>Japan</t>
        </is>
      </c>
      <c r="D355" t="inlineStr">
        <is>
          <t>First collector</t>
        </is>
      </c>
      <c r="E355" t="inlineStr">
        <is>
          <t>FIT/FIP</t>
        </is>
      </c>
      <c r="F355" t="inlineStr">
        <is>
          <t>GGLS1, GGLS4</t>
        </is>
      </c>
      <c r="G355" t="inlineStr">
        <is>
          <t>AR</t>
        </is>
      </c>
      <c r="H355" t="inlineStr">
        <is>
          <t>2022-08-31</t>
        </is>
      </c>
      <c r="I355" t="inlineStr">
        <is>
          <t>2027-08-30</t>
        </is>
      </c>
      <c r="J355" t="inlineStr">
        <is>
          <t>Control Union</t>
        </is>
      </c>
      <c r="K355" t="inlineStr">
        <is>
          <t>Valid</t>
        </is>
      </c>
    </row>
    <row r="356">
      <c r="A356" t="inlineStr">
        <is>
          <t>1883189961243492352</t>
        </is>
      </c>
      <c r="B356" t="inlineStr">
        <is>
          <t>Taiyo Biomass Pte. Ltd.</t>
        </is>
      </c>
      <c r="C356" t="inlineStr">
        <is>
          <t>Singapore</t>
        </is>
      </c>
      <c r="D356" t="inlineStr">
        <is>
          <t>Trader</t>
        </is>
      </c>
      <c r="E356" t="inlineStr">
        <is>
          <t>FIT/FIP</t>
        </is>
      </c>
      <c r="F356" t="inlineStr">
        <is>
          <t>GGLS1, GGLS4</t>
        </is>
      </c>
      <c r="G356" t="inlineStr">
        <is>
          <t>AR</t>
        </is>
      </c>
      <c r="H356" t="inlineStr">
        <is>
          <t>2023-11-09</t>
        </is>
      </c>
      <c r="I356" t="inlineStr">
        <is>
          <t>2028-11-08</t>
        </is>
      </c>
      <c r="J356" t="inlineStr">
        <is>
          <t>Control Union</t>
        </is>
      </c>
      <c r="K356" t="inlineStr">
        <is>
          <t>Valid</t>
        </is>
      </c>
    </row>
    <row r="357">
      <c r="A357" t="inlineStr">
        <is>
          <t>1883267759647752192</t>
        </is>
      </c>
      <c r="B357" t="inlineStr">
        <is>
          <t>Taiyo Biomass Sdn Bhd</t>
        </is>
      </c>
      <c r="C357" t="inlineStr">
        <is>
          <t>Malaysia</t>
        </is>
      </c>
      <c r="D357" t="inlineStr">
        <is>
          <t>First collector</t>
        </is>
      </c>
      <c r="E357" t="inlineStr">
        <is>
          <t>FIT/FIP</t>
        </is>
      </c>
      <c r="F357" t="inlineStr">
        <is>
          <t>GGLS1, GGLS4</t>
        </is>
      </c>
      <c r="G357" t="inlineStr">
        <is>
          <t>AR</t>
        </is>
      </c>
      <c r="H357" t="inlineStr">
        <is>
          <t>2023-08-09</t>
        </is>
      </c>
      <c r="I357" t="inlineStr">
        <is>
          <t>2028-08-08</t>
        </is>
      </c>
      <c r="J357" t="inlineStr">
        <is>
          <t>Control Union</t>
        </is>
      </c>
      <c r="K357" t="inlineStr">
        <is>
          <t>Valid</t>
        </is>
      </c>
    </row>
    <row r="358">
      <c r="A358" t="inlineStr">
        <is>
          <t>1882869953846050816</t>
        </is>
      </c>
      <c r="B358" t="inlineStr">
        <is>
          <t>Tanjong Manis Resources Sdn Bhd</t>
        </is>
      </c>
      <c r="C358" t="inlineStr">
        <is>
          <t>Malaysia</t>
        </is>
      </c>
      <c r="D358" t="inlineStr">
        <is>
          <t>First collector</t>
        </is>
      </c>
      <c r="E358" t="inlineStr">
        <is>
          <t>FIT/FIP</t>
        </is>
      </c>
      <c r="F358" t="inlineStr">
        <is>
          <t>GGLS1, GGLS4</t>
        </is>
      </c>
      <c r="G358" t="inlineStr">
        <is>
          <t>AR</t>
        </is>
      </c>
      <c r="H358" t="inlineStr">
        <is>
          <t>2024-04-09</t>
        </is>
      </c>
      <c r="I358" t="inlineStr">
        <is>
          <t>2029-04-08</t>
        </is>
      </c>
      <c r="J358" t="inlineStr">
        <is>
          <t>Control Union</t>
        </is>
      </c>
      <c r="K358" t="inlineStr">
        <is>
          <t>Valid</t>
        </is>
      </c>
    </row>
    <row r="359">
      <c r="A359" t="inlineStr">
        <is>
          <t>1960685841164533760</t>
        </is>
      </c>
      <c r="B359" t="inlineStr">
        <is>
          <t>Tec Pellets – Produção e Comercialização de Pellets, Lda.</t>
        </is>
      </c>
      <c r="C359" t="inlineStr">
        <is>
          <t>Portugal</t>
        </is>
      </c>
      <c r="D359" t="inlineStr">
        <is>
          <t>Biomass producer</t>
        </is>
      </c>
      <c r="E359" t="inlineStr">
        <is>
          <t>SDE++</t>
        </is>
      </c>
      <c r="F359" t="inlineStr">
        <is>
          <t>GGLS1, GGLS4</t>
        </is>
      </c>
      <c r="G359" t="inlineStr">
        <is>
          <t>Cat 5</t>
        </is>
      </c>
      <c r="H359" t="inlineStr">
        <is>
          <t>2025-07-30</t>
        </is>
      </c>
      <c r="I359" t="inlineStr">
        <is>
          <t>2030-07-29</t>
        </is>
      </c>
      <c r="J359" t="inlineStr">
        <is>
          <t>Control Union</t>
        </is>
      </c>
      <c r="K359" t="inlineStr">
        <is>
          <t>Valid</t>
        </is>
      </c>
    </row>
    <row r="360">
      <c r="A360" t="inlineStr">
        <is>
          <t>1899625280943685632</t>
        </is>
      </c>
      <c r="B360" t="inlineStr">
        <is>
          <t>Tess Logistics LLC</t>
        </is>
      </c>
      <c r="C360" t="inlineStr">
        <is>
          <t>Japan</t>
        </is>
      </c>
      <c r="D360" t="inlineStr">
        <is>
          <t>Trader</t>
        </is>
      </c>
      <c r="E360" t="inlineStr">
        <is>
          <t>FIT/FIP</t>
        </is>
      </c>
      <c r="F360" t="inlineStr">
        <is>
          <t>GGLS1, GGLS4</t>
        </is>
      </c>
      <c r="G360" t="inlineStr">
        <is>
          <t>AR, WB</t>
        </is>
      </c>
      <c r="H360" t="inlineStr">
        <is>
          <t>2025-03-07</t>
        </is>
      </c>
      <c r="I360" t="inlineStr">
        <is>
          <t>2030-03-06</t>
        </is>
      </c>
      <c r="J360" t="inlineStr">
        <is>
          <t>Control Union</t>
        </is>
      </c>
      <c r="K360" t="inlineStr">
        <is>
          <t>Valid</t>
        </is>
      </c>
    </row>
    <row r="361">
      <c r="A361" t="inlineStr">
        <is>
          <t>1883536321373274112</t>
        </is>
      </c>
      <c r="B361" t="inlineStr">
        <is>
          <t>Thana Palm Products Co., Ltd</t>
        </is>
      </c>
      <c r="C361" t="inlineStr">
        <is>
          <t>Thailand</t>
        </is>
      </c>
      <c r="D361" t="inlineStr">
        <is>
          <t>First collector</t>
        </is>
      </c>
      <c r="E361" t="inlineStr">
        <is>
          <t>FIT/FIP</t>
        </is>
      </c>
      <c r="F361" t="inlineStr">
        <is>
          <t>GGLS1, GGLS4</t>
        </is>
      </c>
      <c r="G361" t="inlineStr">
        <is>
          <t>AR</t>
        </is>
      </c>
      <c r="H361" t="inlineStr">
        <is>
          <t>2024-06-19</t>
        </is>
      </c>
      <c r="I361" t="inlineStr">
        <is>
          <t>2029-06-18</t>
        </is>
      </c>
      <c r="J361" t="inlineStr">
        <is>
          <t>Control Union</t>
        </is>
      </c>
      <c r="K361" t="inlineStr">
        <is>
          <t>Valid</t>
        </is>
      </c>
    </row>
    <row r="362">
      <c r="A362" t="inlineStr">
        <is>
          <t>1883138996159119360</t>
        </is>
      </c>
      <c r="B362" t="inlineStr">
        <is>
          <t>Tokushima Tsuda Biomass G.K.</t>
        </is>
      </c>
      <c r="C362" t="inlineStr">
        <is>
          <t>Japan</t>
        </is>
      </c>
      <c r="D362" t="inlineStr">
        <is>
          <t>Power company</t>
        </is>
      </c>
      <c r="E362" t="inlineStr">
        <is>
          <t>FIT/FIP</t>
        </is>
      </c>
      <c r="F362" t="inlineStr">
        <is>
          <t>GGLS1, GGLS4, GGLS6</t>
        </is>
      </c>
      <c r="G362" t="inlineStr">
        <is>
          <t>AR</t>
        </is>
      </c>
      <c r="H362" t="inlineStr">
        <is>
          <t>2024-02-08</t>
        </is>
      </c>
      <c r="I362" t="inlineStr">
        <is>
          <t>2029-02-07</t>
        </is>
      </c>
      <c r="J362" t="inlineStr">
        <is>
          <t>Control Union</t>
        </is>
      </c>
      <c r="K362" t="inlineStr">
        <is>
          <t>Valid</t>
        </is>
      </c>
    </row>
    <row r="363">
      <c r="A363" t="inlineStr">
        <is>
          <t>1884181804617826304</t>
        </is>
      </c>
      <c r="B363" t="inlineStr">
        <is>
          <t>Tokuyama Corporation (GGL)</t>
        </is>
      </c>
      <c r="C363" t="inlineStr">
        <is>
          <t>Japan</t>
        </is>
      </c>
      <c r="D363" t="inlineStr">
        <is>
          <t>Power company</t>
        </is>
      </c>
      <c r="E363" t="inlineStr">
        <is>
          <t>FIT/FIP</t>
        </is>
      </c>
      <c r="F363" t="inlineStr">
        <is>
          <t>GGLS1, GGLS4, GGLS6</t>
        </is>
      </c>
      <c r="G363" t="inlineStr">
        <is>
          <t>AR</t>
        </is>
      </c>
      <c r="H363" t="inlineStr">
        <is>
          <t>2022-02-17</t>
        </is>
      </c>
      <c r="I363" t="inlineStr">
        <is>
          <t>2027-02-16</t>
        </is>
      </c>
      <c r="J363" t="inlineStr">
        <is>
          <t>Control Union</t>
        </is>
      </c>
      <c r="K363" t="inlineStr">
        <is>
          <t>Valid</t>
        </is>
      </c>
    </row>
    <row r="364">
      <c r="A364" t="inlineStr">
        <is>
          <t>1884222722301493248</t>
        </is>
      </c>
      <c r="B364" t="inlineStr">
        <is>
          <t>Tokyo Energy &amp; Systems Inc.</t>
        </is>
      </c>
      <c r="C364" t="inlineStr">
        <is>
          <t>Japan</t>
        </is>
      </c>
      <c r="D364" t="inlineStr">
        <is>
          <t>Trader</t>
        </is>
      </c>
      <c r="E364" t="inlineStr">
        <is>
          <t>FIT/FIP</t>
        </is>
      </c>
      <c r="F364" t="inlineStr">
        <is>
          <t>GGLS1, GGLS4</t>
        </is>
      </c>
      <c r="G364" t="inlineStr">
        <is>
          <t>AR</t>
        </is>
      </c>
      <c r="H364" t="inlineStr">
        <is>
          <t>2023-05-17</t>
        </is>
      </c>
      <c r="I364" t="inlineStr">
        <is>
          <t>2028-05-16</t>
        </is>
      </c>
      <c r="J364" t="inlineStr">
        <is>
          <t>Control Union</t>
        </is>
      </c>
      <c r="K364" t="inlineStr">
        <is>
          <t>Valid</t>
        </is>
      </c>
    </row>
    <row r="365">
      <c r="A365" t="inlineStr">
        <is>
          <t>1883813442322694144</t>
        </is>
      </c>
      <c r="B365" t="inlineStr">
        <is>
          <t>Tokyo Sangyo Co., Ltd.</t>
        </is>
      </c>
      <c r="C365" t="inlineStr">
        <is>
          <t>Japan</t>
        </is>
      </c>
      <c r="D365" t="inlineStr">
        <is>
          <t>Trader</t>
        </is>
      </c>
      <c r="E365" t="inlineStr">
        <is>
          <t>FIT/FIP</t>
        </is>
      </c>
      <c r="F365" t="inlineStr">
        <is>
          <t>GGLS1, GGLS4</t>
        </is>
      </c>
      <c r="G365" t="inlineStr">
        <is>
          <t>AR, WB</t>
        </is>
      </c>
      <c r="H365" t="inlineStr">
        <is>
          <t>2021-08-02</t>
        </is>
      </c>
      <c r="I365" t="inlineStr">
        <is>
          <t>2026-08-01</t>
        </is>
      </c>
      <c r="J365" t="inlineStr">
        <is>
          <t>Control Union</t>
        </is>
      </c>
      <c r="K365" t="inlineStr">
        <is>
          <t>Expired</t>
        </is>
      </c>
    </row>
    <row r="366">
      <c r="A366" t="inlineStr">
        <is>
          <t>2036327743183912960</t>
        </is>
      </c>
      <c r="B366" t="inlineStr">
        <is>
          <t>Tomakomai Benten Biomass Power GK</t>
        </is>
      </c>
      <c r="C366" t="inlineStr">
        <is>
          <t>Japan</t>
        </is>
      </c>
      <c r="D366" t="inlineStr">
        <is>
          <t>Power company</t>
        </is>
      </c>
      <c r="E366" t="inlineStr">
        <is>
          <t>FIT/FIP</t>
        </is>
      </c>
      <c r="F366" t="inlineStr">
        <is>
          <t>GGLS1, GGLS4, GGLS6</t>
        </is>
      </c>
      <c r="G366" t="inlineStr">
        <is>
          <t>AR, WB</t>
        </is>
      </c>
      <c r="H366" t="inlineStr">
        <is>
          <t>2026-03-17</t>
        </is>
      </c>
      <c r="I366" t="inlineStr">
        <is>
          <t>2031-03-16</t>
        </is>
      </c>
      <c r="J366" t="inlineStr">
        <is>
          <t>Control Union</t>
        </is>
      </c>
      <c r="K366" t="inlineStr">
        <is>
          <t>Valid</t>
        </is>
      </c>
    </row>
    <row r="367">
      <c r="A367" t="inlineStr">
        <is>
          <t>1884175248861954048</t>
        </is>
      </c>
      <c r="B367" t="inlineStr">
        <is>
          <t>Tsuruga Green Power Corporation (GGL)</t>
        </is>
      </c>
      <c r="C367" t="inlineStr">
        <is>
          <t>Japan</t>
        </is>
      </c>
      <c r="D367" t="inlineStr">
        <is>
          <t>Power company</t>
        </is>
      </c>
      <c r="E367" t="inlineStr">
        <is>
          <t>FIT/FIP</t>
        </is>
      </c>
      <c r="F367" t="inlineStr">
        <is>
          <t>GGLS1, GGLS4, GGLS6</t>
        </is>
      </c>
      <c r="G367" t="inlineStr">
        <is>
          <t>AR</t>
        </is>
      </c>
      <c r="H367" t="inlineStr">
        <is>
          <t>2022-09-05</t>
        </is>
      </c>
      <c r="I367" t="inlineStr">
        <is>
          <t>2027-09-04</t>
        </is>
      </c>
      <c r="J367" t="inlineStr">
        <is>
          <t>Control Union</t>
        </is>
      </c>
      <c r="K367" t="inlineStr">
        <is>
          <t>Valid</t>
        </is>
      </c>
    </row>
    <row r="368">
      <c r="A368" t="inlineStr">
        <is>
          <t>1958799490559246336</t>
        </is>
      </c>
      <c r="B368" t="inlineStr">
        <is>
          <t>UNI GREEN CO., LTD.</t>
        </is>
      </c>
      <c r="C368" t="inlineStr">
        <is>
          <t>Thailand</t>
        </is>
      </c>
      <c r="D368" t="inlineStr">
        <is>
          <t>Trader</t>
        </is>
      </c>
      <c r="E368" t="inlineStr">
        <is>
          <t>FIT/FIP</t>
        </is>
      </c>
      <c r="F368" t="inlineStr">
        <is>
          <t>GGLS1, GGLS4</t>
        </is>
      </c>
      <c r="G368" t="inlineStr">
        <is>
          <t>AR</t>
        </is>
      </c>
      <c r="H368" t="inlineStr">
        <is>
          <t>2025-04-09</t>
        </is>
      </c>
      <c r="I368" t="inlineStr">
        <is>
          <t>2030-04-08</t>
        </is>
      </c>
      <c r="J368" t="inlineStr">
        <is>
          <t>PT Carsurin Certiva International</t>
        </is>
      </c>
      <c r="K368" t="inlineStr">
        <is>
          <t>Valid</t>
        </is>
      </c>
    </row>
    <row r="369">
      <c r="A369" t="inlineStr">
        <is>
          <t>2044266941291429888</t>
        </is>
      </c>
      <c r="B369" t="inlineStr">
        <is>
          <t>UNITED PETROLEUM INTERNATIONAL HOLDINGS PTE. LTD.</t>
        </is>
      </c>
      <c r="C369" t="inlineStr">
        <is>
          <t>Singapore</t>
        </is>
      </c>
      <c r="D369" t="inlineStr">
        <is>
          <t>Trader</t>
        </is>
      </c>
      <c r="E369" t="inlineStr">
        <is>
          <t>FIT/FIP</t>
        </is>
      </c>
      <c r="F369" t="inlineStr">
        <is>
          <t>GGLS1, GGLS4</t>
        </is>
      </c>
      <c r="G369" t="inlineStr">
        <is>
          <t>AR</t>
        </is>
      </c>
      <c r="H369" t="inlineStr">
        <is>
          <t>2026-04-02</t>
        </is>
      </c>
      <c r="I369" t="inlineStr">
        <is>
          <t>2031-04-01</t>
        </is>
      </c>
      <c r="J369" t="inlineStr">
        <is>
          <t>PT Carsurin Certiva International</t>
        </is>
      </c>
      <c r="K369" t="inlineStr">
        <is>
          <t>Valid</t>
        </is>
      </c>
    </row>
    <row r="370">
      <c r="A370" t="inlineStr">
        <is>
          <t>2046451810570338304</t>
        </is>
      </c>
      <c r="B370" t="inlineStr">
        <is>
          <t>UPC RENEWABLES JAPAN KK</t>
        </is>
      </c>
      <c r="C370" t="inlineStr">
        <is>
          <t>Japan</t>
        </is>
      </c>
      <c r="D370" t="inlineStr">
        <is>
          <t>Trader</t>
        </is>
      </c>
      <c r="E370" t="inlineStr">
        <is>
          <t>FIT/FIP</t>
        </is>
      </c>
      <c r="F370" t="inlineStr">
        <is>
          <t>GGLS1, GGLS4</t>
        </is>
      </c>
      <c r="G370" t="inlineStr">
        <is>
          <t>AR, Cat 5, WB</t>
        </is>
      </c>
      <c r="H370" t="inlineStr">
        <is>
          <t>2025-06-06</t>
        </is>
      </c>
      <c r="I370" t="inlineStr">
        <is>
          <t>2030-06-05</t>
        </is>
      </c>
      <c r="J370" t="inlineStr">
        <is>
          <t>Control Union</t>
        </is>
      </c>
      <c r="K370" t="inlineStr">
        <is>
          <t>Valid</t>
        </is>
      </c>
    </row>
    <row r="371">
      <c r="A371" t="inlineStr">
        <is>
          <t>1884174313511190528</t>
        </is>
      </c>
      <c r="B371" t="inlineStr">
        <is>
          <t>Uniper Benelux N.V.</t>
        </is>
      </c>
      <c r="C371" t="inlineStr">
        <is>
          <t>Netherlands</t>
        </is>
      </c>
      <c r="D371" t="inlineStr">
        <is>
          <t>Power company</t>
        </is>
      </c>
      <c r="E371" t="inlineStr">
        <is>
          <t>FIT/FIP</t>
        </is>
      </c>
      <c r="F371" t="inlineStr">
        <is>
          <t>GGLS1, GGLS4, GGLS6</t>
        </is>
      </c>
      <c r="G371" t="inlineStr">
        <is>
          <t>AR</t>
        </is>
      </c>
      <c r="H371" t="inlineStr">
        <is>
          <t>2023-08-07</t>
        </is>
      </c>
      <c r="I371" t="inlineStr">
        <is>
          <t>2028-08-06</t>
        </is>
      </c>
      <c r="J371" t="inlineStr">
        <is>
          <t>Control Union</t>
        </is>
      </c>
      <c r="K371" t="inlineStr">
        <is>
          <t>Valid</t>
        </is>
      </c>
    </row>
    <row r="372">
      <c r="A372" t="inlineStr">
        <is>
          <t>1884157809520541696</t>
        </is>
      </c>
      <c r="B372" t="inlineStr">
        <is>
          <t>Uniper Global Commodities SE</t>
        </is>
      </c>
      <c r="C372" t="inlineStr">
        <is>
          <t>Germany</t>
        </is>
      </c>
      <c r="D372" t="inlineStr">
        <is>
          <t>Trader</t>
        </is>
      </c>
      <c r="E372" t="inlineStr">
        <is>
          <t>SDE++</t>
        </is>
      </c>
      <c r="F372" t="inlineStr">
        <is>
          <t>GGLS1, GGLS4</t>
        </is>
      </c>
      <c r="G372" t="inlineStr">
        <is>
          <t>Cat 5</t>
        </is>
      </c>
      <c r="H372" t="inlineStr">
        <is>
          <t>2022-11-08</t>
        </is>
      </c>
      <c r="I372" t="inlineStr">
        <is>
          <t>2027-11-07</t>
        </is>
      </c>
      <c r="J372" t="inlineStr">
        <is>
          <t>Control Union</t>
        </is>
      </c>
      <c r="K372" t="inlineStr">
        <is>
          <t>Valid</t>
        </is>
      </c>
    </row>
    <row r="373">
      <c r="A373" t="inlineStr">
        <is>
          <t>1883813966807826432</t>
        </is>
      </c>
      <c r="B373" t="inlineStr">
        <is>
          <t>United Company for Land Reclamation &amp; Agro Industries</t>
        </is>
      </c>
      <c r="C373" t="inlineStr">
        <is>
          <t>Egypt</t>
        </is>
      </c>
      <c r="D373" t="inlineStr">
        <is>
          <t>Biomass producer</t>
        </is>
      </c>
      <c r="E373" t="inlineStr">
        <is>
          <t>SDE++</t>
        </is>
      </c>
      <c r="F373" t="inlineStr">
        <is>
          <t>GGLS1, GGLS4</t>
        </is>
      </c>
      <c r="G373" t="inlineStr">
        <is>
          <t>Cat 5</t>
        </is>
      </c>
      <c r="H373" t="inlineStr">
        <is>
          <t>2021-08-24</t>
        </is>
      </c>
      <c r="I373" t="inlineStr">
        <is>
          <t>2026-08-23</t>
        </is>
      </c>
      <c r="J373" t="inlineStr">
        <is>
          <t>Control Union</t>
        </is>
      </c>
      <c r="K373" t="inlineStr">
        <is>
          <t>Expired</t>
        </is>
      </c>
    </row>
    <row r="374">
      <c r="A374" t="inlineStr">
        <is>
          <t>2052695074436808704</t>
        </is>
      </c>
      <c r="B374" t="inlineStr">
        <is>
          <t>United Palm Oil Industry Public Company Limited</t>
        </is>
      </c>
      <c r="C374" t="inlineStr">
        <is>
          <t>Thailand</t>
        </is>
      </c>
      <c r="D374" t="inlineStr">
        <is>
          <t>First collector</t>
        </is>
      </c>
      <c r="E374" t="inlineStr">
        <is>
          <t>FIT/FIP</t>
        </is>
      </c>
      <c r="F374" t="inlineStr">
        <is>
          <t>GGLS1, GGLS4</t>
        </is>
      </c>
      <c r="G374" t="inlineStr">
        <is>
          <t>AR, Cat 5</t>
        </is>
      </c>
      <c r="H374" t="inlineStr">
        <is>
          <t>2026-05-08</t>
        </is>
      </c>
      <c r="I374" t="inlineStr">
        <is>
          <t>2031-05-07</t>
        </is>
      </c>
      <c r="J374" t="inlineStr">
        <is>
          <t>Control Union</t>
        </is>
      </c>
      <c r="K374" t="inlineStr">
        <is>
          <t>Valid</t>
        </is>
      </c>
    </row>
    <row r="375">
      <c r="A375" t="inlineStr">
        <is>
          <t>1884148291319365632</t>
        </is>
      </c>
      <c r="B375" t="inlineStr">
        <is>
          <t>United Renewable Energy Co., Ltd.</t>
        </is>
      </c>
      <c r="C375" t="inlineStr">
        <is>
          <t>Japan</t>
        </is>
      </c>
      <c r="D375" t="inlineStr">
        <is>
          <t>Power company</t>
        </is>
      </c>
      <c r="E375" t="inlineStr">
        <is>
          <t>FIT/FIP</t>
        </is>
      </c>
      <c r="F375" t="inlineStr">
        <is>
          <t>GGLS1, GGLS4, GGLS6</t>
        </is>
      </c>
      <c r="G375" t="inlineStr">
        <is>
          <t>AR</t>
        </is>
      </c>
      <c r="H375" t="inlineStr">
        <is>
          <t>2022-12-08</t>
        </is>
      </c>
      <c r="I375" t="inlineStr">
        <is>
          <t>2027-12-07</t>
        </is>
      </c>
      <c r="J375" t="inlineStr">
        <is>
          <t>Control Union</t>
        </is>
      </c>
      <c r="K375" t="inlineStr">
        <is>
          <t>Valid</t>
        </is>
      </c>
    </row>
    <row r="376">
      <c r="A376" t="inlineStr">
        <is>
          <t>1920449847874289664</t>
        </is>
      </c>
      <c r="B376" t="inlineStr">
        <is>
          <t>Vattenfall Energy Trading Netherlands N.V., Hamburg Branch</t>
        </is>
      </c>
      <c r="C376" t="inlineStr">
        <is>
          <t>Germany</t>
        </is>
      </c>
      <c r="D376" t="inlineStr">
        <is>
          <t>Trader</t>
        </is>
      </c>
      <c r="E376" t="inlineStr">
        <is>
          <t>SDE++</t>
        </is>
      </c>
      <c r="F376" t="inlineStr">
        <is>
          <t>GGLS1, GGLS4</t>
        </is>
      </c>
      <c r="G376" t="inlineStr">
        <is>
          <t>Cat 5</t>
        </is>
      </c>
      <c r="H376" t="inlineStr">
        <is>
          <t>2025-05-01</t>
        </is>
      </c>
      <c r="I376" t="inlineStr">
        <is>
          <t>2030-04-30</t>
        </is>
      </c>
      <c r="J376" t="inlineStr">
        <is>
          <t>Control Union</t>
        </is>
      </c>
      <c r="K376" t="inlineStr">
        <is>
          <t>Valid</t>
        </is>
      </c>
    </row>
    <row r="377">
      <c r="A377" t="inlineStr">
        <is>
          <t>1884135187449643008</t>
        </is>
      </c>
      <c r="B377" t="inlineStr">
        <is>
          <t>Victoria Acre Sdn. Bhd.</t>
        </is>
      </c>
      <c r="C377" t="inlineStr">
        <is>
          <t>Malaysia</t>
        </is>
      </c>
      <c r="D377" t="inlineStr">
        <is>
          <t>Biomass producer</t>
        </is>
      </c>
      <c r="E377" t="inlineStr">
        <is>
          <t>FIT/FIP</t>
        </is>
      </c>
      <c r="F377" t="inlineStr">
        <is>
          <t>GGLS1, GGLS4</t>
        </is>
      </c>
      <c r="G377" t="inlineStr">
        <is>
          <t>AR</t>
        </is>
      </c>
      <c r="H377" t="inlineStr">
        <is>
          <t>2023-04-05</t>
        </is>
      </c>
      <c r="I377" t="inlineStr">
        <is>
          <t>2028-04-04</t>
        </is>
      </c>
      <c r="J377" t="inlineStr">
        <is>
          <t>Control Union</t>
        </is>
      </c>
      <c r="K377" t="inlineStr">
        <is>
          <t>Valid</t>
        </is>
      </c>
    </row>
    <row r="378">
      <c r="A378" t="inlineStr">
        <is>
          <t>1884626292662337536</t>
        </is>
      </c>
      <c r="B378" t="inlineStr">
        <is>
          <t>Vinashark Company Limited</t>
        </is>
      </c>
      <c r="C378" t="inlineStr">
        <is>
          <t>Vietnam</t>
        </is>
      </c>
      <c r="D378" t="inlineStr">
        <is>
          <t>First collector, Trader</t>
        </is>
      </c>
      <c r="E378" t="inlineStr">
        <is>
          <t>FIT/FIP</t>
        </is>
      </c>
      <c r="F378" t="inlineStr">
        <is>
          <t>GGLS1, GGLS4</t>
        </is>
      </c>
      <c r="G378" t="inlineStr">
        <is>
          <t>AR, Cat 5</t>
        </is>
      </c>
      <c r="H378" t="inlineStr">
        <is>
          <t>2024-11-11</t>
        </is>
      </c>
      <c r="I378" t="inlineStr">
        <is>
          <t>2029-11-10</t>
        </is>
      </c>
      <c r="J378" t="inlineStr">
        <is>
          <t>BM Certification</t>
        </is>
      </c>
      <c r="K378" t="inlineStr">
        <is>
          <t>Valid</t>
        </is>
      </c>
    </row>
    <row r="379">
      <c r="A379" t="inlineStr">
        <is>
          <t>1883811766698246144</t>
        </is>
      </c>
      <c r="B379" t="inlineStr">
        <is>
          <t>Vitol SA</t>
        </is>
      </c>
      <c r="C379" t="inlineStr">
        <is>
          <t>Switzerland</t>
        </is>
      </c>
      <c r="D379" t="inlineStr">
        <is>
          <t>Trader</t>
        </is>
      </c>
      <c r="E379" t="inlineStr">
        <is>
          <t>SDE++</t>
        </is>
      </c>
      <c r="F379" t="inlineStr">
        <is>
          <t>GGLS1, GGLS4</t>
        </is>
      </c>
      <c r="G379" t="inlineStr">
        <is>
          <t>Cat 5</t>
        </is>
      </c>
      <c r="H379" t="inlineStr">
        <is>
          <t>2021-05-10</t>
        </is>
      </c>
      <c r="I379" t="inlineStr">
        <is>
          <t>2026-05-09</t>
        </is>
      </c>
      <c r="J379" t="inlineStr">
        <is>
          <t>Control Union</t>
        </is>
      </c>
      <c r="K379" t="inlineStr">
        <is>
          <t>Expired</t>
        </is>
      </c>
    </row>
    <row r="380">
      <c r="A380" t="inlineStr">
        <is>
          <t>1922894397943316480</t>
        </is>
      </c>
      <c r="B380" t="inlineStr">
        <is>
          <t>WAKAYAMA GOBO BIOMASS POWER PLANT G.K.</t>
        </is>
      </c>
      <c r="C380" t="inlineStr">
        <is>
          <t>Japan</t>
        </is>
      </c>
      <c r="D380" t="inlineStr">
        <is>
          <t>Power company</t>
        </is>
      </c>
      <c r="E380" t="inlineStr">
        <is>
          <t>FIT/FIP</t>
        </is>
      </c>
      <c r="F380" t="inlineStr">
        <is>
          <t>GGLS1, GGLS4, GGLS6</t>
        </is>
      </c>
      <c r="G380" t="inlineStr">
        <is>
          <t>AR</t>
        </is>
      </c>
      <c r="H380" t="inlineStr">
        <is>
          <t>2025-10-01</t>
        </is>
      </c>
      <c r="I380" t="inlineStr">
        <is>
          <t>2030-09-30</t>
        </is>
      </c>
      <c r="J380" t="inlineStr">
        <is>
          <t>Control Union</t>
        </is>
      </c>
      <c r="K380" t="inlineStr">
        <is>
          <t>Valid</t>
        </is>
      </c>
    </row>
    <row r="381">
      <c r="A381" t="inlineStr">
        <is>
          <t>1882874971374485504</t>
        </is>
      </c>
      <c r="B381" t="inlineStr">
        <is>
          <t>WALKING MOUNTAIN RESOURCES</t>
        </is>
      </c>
      <c r="C381" t="inlineStr">
        <is>
          <t>Malaysia</t>
        </is>
      </c>
      <c r="D381" t="inlineStr">
        <is>
          <t>First collector, Trader</t>
        </is>
      </c>
      <c r="E381" t="inlineStr">
        <is>
          <t>FIT/FIP</t>
        </is>
      </c>
      <c r="F381" t="inlineStr">
        <is>
          <t>GGLS1, GGLS4</t>
        </is>
      </c>
      <c r="G381" t="inlineStr">
        <is>
          <t>Cat 5</t>
        </is>
      </c>
      <c r="H381" t="inlineStr">
        <is>
          <t>2024-10-16</t>
        </is>
      </c>
      <c r="I381" t="inlineStr">
        <is>
          <t>2029-10-15</t>
        </is>
      </c>
      <c r="J381" t="inlineStr">
        <is>
          <t>Trans Certification &amp; Inspection SDN. BHD.</t>
        </is>
      </c>
      <c r="K381" t="inlineStr">
        <is>
          <t>Valid</t>
        </is>
      </c>
    </row>
    <row r="382">
      <c r="A382" t="inlineStr">
        <is>
          <t>2031557919006261248</t>
        </is>
      </c>
      <c r="B382" t="inlineStr">
        <is>
          <t>WELHUNT INTERNATIONAL PTE. LTD</t>
        </is>
      </c>
      <c r="C382" t="inlineStr">
        <is>
          <t>Singapore</t>
        </is>
      </c>
      <c r="D382" t="inlineStr">
        <is>
          <t>Trader</t>
        </is>
      </c>
      <c r="E382" t="inlineStr">
        <is>
          <t>FIT/FIP</t>
        </is>
      </c>
      <c r="F382" t="inlineStr">
        <is>
          <t>GGLS1, GGLS4</t>
        </is>
      </c>
      <c r="G382" t="inlineStr">
        <is>
          <t>Cat 5</t>
        </is>
      </c>
      <c r="H382" t="inlineStr">
        <is>
          <t>2026-03-25</t>
        </is>
      </c>
      <c r="I382" t="inlineStr">
        <is>
          <t>2031-03-24</t>
        </is>
      </c>
      <c r="J382" t="inlineStr">
        <is>
          <t>PT Intertek Utama Services</t>
        </is>
      </c>
      <c r="K382" t="inlineStr">
        <is>
          <t>Valid</t>
        </is>
      </c>
    </row>
    <row r="383">
      <c r="A383" t="inlineStr">
        <is>
          <t>1883184198424985600</t>
        </is>
      </c>
      <c r="B383" t="inlineStr">
        <is>
          <t>WIN M TRADING</t>
        </is>
      </c>
      <c r="C383" t="inlineStr">
        <is>
          <t>Malaysia</t>
        </is>
      </c>
      <c r="D383" t="inlineStr">
        <is>
          <t>First collector</t>
        </is>
      </c>
      <c r="E383" t="inlineStr">
        <is>
          <t>FIT/FIP</t>
        </is>
      </c>
      <c r="F383" t="inlineStr">
        <is>
          <t>GGLS1, GGLS4</t>
        </is>
      </c>
      <c r="G383" t="inlineStr">
        <is>
          <t>AR</t>
        </is>
      </c>
      <c r="H383" t="inlineStr">
        <is>
          <t>2023-12-18</t>
        </is>
      </c>
      <c r="I383" t="inlineStr">
        <is>
          <t>2028-12-17</t>
        </is>
      </c>
      <c r="J383" t="inlineStr">
        <is>
          <t>Control Union</t>
        </is>
      </c>
      <c r="K383" t="inlineStr">
        <is>
          <t>Valid</t>
        </is>
      </c>
    </row>
    <row r="384">
      <c r="A384" t="inlineStr">
        <is>
          <t>1897580203308220416</t>
        </is>
      </c>
      <c r="B384" t="inlineStr">
        <is>
          <t>Wellspire Global Trading Sdn Bhd</t>
        </is>
      </c>
      <c r="C384" t="inlineStr">
        <is>
          <t>Malaysia</t>
        </is>
      </c>
      <c r="D384" t="inlineStr">
        <is>
          <t>First collector</t>
        </is>
      </c>
      <c r="E384" t="inlineStr">
        <is>
          <t>FIT/FIP</t>
        </is>
      </c>
      <c r="F384" t="inlineStr">
        <is>
          <t>GGLS1, GGLS4</t>
        </is>
      </c>
      <c r="G384" t="inlineStr">
        <is>
          <t>AR</t>
        </is>
      </c>
      <c r="H384" t="inlineStr">
        <is>
          <t>2025-01-07</t>
        </is>
      </c>
      <c r="I384" t="inlineStr">
        <is>
          <t>2030-01-06</t>
        </is>
      </c>
      <c r="J384" t="inlineStr">
        <is>
          <t>Control Union</t>
        </is>
      </c>
      <c r="K384" t="inlineStr">
        <is>
          <t>Valid</t>
        </is>
      </c>
    </row>
    <row r="385">
      <c r="A385" t="inlineStr">
        <is>
          <t>1882869007804006400</t>
        </is>
      </c>
      <c r="B385" t="inlineStr">
        <is>
          <t>Xsean Global Sdn Bhd</t>
        </is>
      </c>
      <c r="C385" t="inlineStr">
        <is>
          <t>Malaysia</t>
        </is>
      </c>
      <c r="D385" t="inlineStr">
        <is>
          <t>Trader</t>
        </is>
      </c>
      <c r="E385" t="inlineStr">
        <is>
          <t>FIT/FIP</t>
        </is>
      </c>
      <c r="F385" t="inlineStr">
        <is>
          <t>GGLS1, GGLS4</t>
        </is>
      </c>
      <c r="G385" t="inlineStr">
        <is>
          <t>AR</t>
        </is>
      </c>
      <c r="H385" t="inlineStr">
        <is>
          <t>2024-11-19</t>
        </is>
      </c>
      <c r="I385" t="inlineStr">
        <is>
          <t>2029-11-18</t>
        </is>
      </c>
      <c r="J385" t="inlineStr">
        <is>
          <t>Control Union</t>
        </is>
      </c>
      <c r="K385" t="inlineStr">
        <is>
          <t>Valid</t>
        </is>
      </c>
    </row>
    <row r="386">
      <c r="A386" t="inlineStr">
        <is>
          <t>1916732483580198912</t>
        </is>
      </c>
      <c r="B386" t="inlineStr">
        <is>
          <t>Yui shouji Co.,ltd.</t>
        </is>
      </c>
      <c r="C386" t="inlineStr">
        <is>
          <t>Japan</t>
        </is>
      </c>
      <c r="D386" t="inlineStr">
        <is>
          <t>Trader</t>
        </is>
      </c>
      <c r="E386" t="inlineStr">
        <is>
          <t>FIT/FIP</t>
        </is>
      </c>
      <c r="F386" t="inlineStr">
        <is>
          <t>GGLS1, GGLS4</t>
        </is>
      </c>
      <c r="G386" t="inlineStr">
        <is>
          <t>AR</t>
        </is>
      </c>
      <c r="H386" t="inlineStr">
        <is>
          <t>2025-04-09</t>
        </is>
      </c>
      <c r="I386" t="inlineStr">
        <is>
          <t>2030-04-08</t>
        </is>
      </c>
      <c r="J386" t="inlineStr">
        <is>
          <t>Control Union</t>
        </is>
      </c>
      <c r="K386" t="inlineStr">
        <is>
          <t>Valid</t>
        </is>
      </c>
    </row>
    <row r="387">
      <c r="A387" t="inlineStr">
        <is>
          <t>1883806668702089216</t>
        </is>
      </c>
      <c r="B387" t="inlineStr">
        <is>
          <t>erex Co., Ltd.</t>
        </is>
      </c>
      <c r="C387" t="inlineStr">
        <is>
          <t>Japan</t>
        </is>
      </c>
      <c r="D387" t="inlineStr">
        <is>
          <t>Trader</t>
        </is>
      </c>
      <c r="E387" t="inlineStr">
        <is>
          <t>FIT/FIP</t>
        </is>
      </c>
      <c r="F387" t="inlineStr">
        <is>
          <t>GGLS1, GGLS4</t>
        </is>
      </c>
      <c r="G387" t="inlineStr">
        <is>
          <t>AR, WB</t>
        </is>
      </c>
      <c r="H387" t="inlineStr">
        <is>
          <t>2025-04-04</t>
        </is>
      </c>
      <c r="I387" t="inlineStr">
        <is>
          <t>2030-04-03</t>
        </is>
      </c>
      <c r="J387" t="inlineStr">
        <is>
          <t>Control Union</t>
        </is>
      </c>
      <c r="K387" t="inlineStr">
        <is>
          <t>Valid</t>
        </is>
      </c>
    </row>
    <row r="388">
      <c r="A388" t="inlineStr">
        <is>
          <t>1883806668702089216</t>
        </is>
      </c>
      <c r="B388" t="inlineStr">
        <is>
          <t>erex Co., Ltd.</t>
        </is>
      </c>
      <c r="C388" t="inlineStr">
        <is>
          <t>Japan</t>
        </is>
      </c>
      <c r="D388" t="inlineStr">
        <is>
          <t>Trader</t>
        </is>
      </c>
      <c r="E388" t="inlineStr">
        <is>
          <t>FIT/FIP</t>
        </is>
      </c>
      <c r="F388" t="inlineStr">
        <is>
          <t>GGLS1, GGLS4</t>
        </is>
      </c>
      <c r="G388" t="inlineStr">
        <is>
          <t>AR</t>
        </is>
      </c>
      <c r="H388" t="inlineStr">
        <is>
          <t>2025-04-04</t>
        </is>
      </c>
      <c r="I388" t="inlineStr">
        <is>
          <t>2030-04-03</t>
        </is>
      </c>
      <c r="J388" t="inlineStr">
        <is>
          <t>Control Union</t>
        </is>
      </c>
      <c r="K388" t="inlineStr">
        <is>
          <t>Revoked</t>
        </is>
      </c>
    </row>
    <row r="389">
      <c r="A389" t="inlineStr">
        <is>
          <t>1883805293029097472</t>
        </is>
      </c>
      <c r="B389" t="inlineStr">
        <is>
          <t>erex New Energy Saiki Co., Ltd</t>
        </is>
      </c>
      <c r="C389" t="inlineStr">
        <is>
          <t>Japan</t>
        </is>
      </c>
      <c r="D389" t="inlineStr">
        <is>
          <t>Power company</t>
        </is>
      </c>
      <c r="E389" t="inlineStr">
        <is>
          <t>FIT/FIP</t>
        </is>
      </c>
      <c r="F389" t="inlineStr">
        <is>
          <t>GGLS1, GGLS4, GGLS6</t>
        </is>
      </c>
      <c r="G389" t="inlineStr">
        <is>
          <t>AR, WB</t>
        </is>
      </c>
      <c r="H389" t="inlineStr">
        <is>
          <t>2025-04-24</t>
        </is>
      </c>
      <c r="I389" t="inlineStr">
        <is>
          <t>2030-04-23</t>
        </is>
      </c>
      <c r="J389" t="inlineStr">
        <is>
          <t>Control Union</t>
        </is>
      </c>
      <c r="K389" t="inlineStr">
        <is>
          <t>Valid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2026-09-15T09:43:21Z</dcterms:created>
  <dcterms:modified xsi:type="dcterms:W3CDTF">2026-09-15T09:43:21Z</dcterms:modified>
</cp:coreProperties>
</file>